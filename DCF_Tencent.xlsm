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cuhk-my.sharepoint.com/personal/1155213862_link_cuhk_edu_hk/Documents/DCF_Tencent/"/>
    </mc:Choice>
  </mc:AlternateContent>
  <xr:revisionPtr revIDLastSave="478" documentId="8_{BA85EB20-000D-4CAC-B642-01732B39BFB5}" xr6:coauthVersionLast="47" xr6:coauthVersionMax="47" xr10:uidLastSave="{D9197491-0241-4DE2-9D8F-6805B2C6EEFC}"/>
  <bookViews>
    <workbookView minimized="1" xWindow="4725" yWindow="2850" windowWidth="21600" windowHeight="11295" xr2:uid="{DDE1D1C7-805B-4FAA-AE7F-C08831832784}"/>
  </bookViews>
  <sheets>
    <sheet name="Overview" sheetId="14" r:id="rId1"/>
    <sheet name="FCFF &amp; Assumptions" sheetId="10" r:id="rId2"/>
    <sheet name="DCF" sheetId="9" r:id="rId3"/>
    <sheet name="Key Indicators" sheetId="5" r:id="rId4"/>
    <sheet name="Income Statement" sheetId="2" r:id="rId5"/>
    <sheet name="Balance Sheet" sheetId="3" r:id="rId6"/>
    <sheet name="Cash Flow" sheetId="4" r:id="rId7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3" i="14" l="1"/>
  <c r="F23" i="14" s="1"/>
  <c r="G23" i="14" s="1"/>
  <c r="H23" i="14" s="1"/>
  <c r="E19" i="14"/>
  <c r="F19" i="14" s="1"/>
  <c r="G19" i="14" s="1"/>
  <c r="H19" i="14" s="1"/>
  <c r="G12" i="9"/>
  <c r="F12" i="9"/>
  <c r="E12" i="9"/>
  <c r="D12" i="9"/>
  <c r="C12" i="9"/>
  <c r="C8" i="9"/>
  <c r="C4" i="9"/>
  <c r="C3" i="9"/>
  <c r="D31" i="10"/>
  <c r="E31" i="10" s="1"/>
  <c r="F31" i="10" s="1"/>
  <c r="G31" i="10" s="1"/>
  <c r="C30" i="10"/>
  <c r="C34" i="10" s="1"/>
  <c r="D29" i="10"/>
  <c r="E29" i="10" s="1"/>
  <c r="F29" i="10" s="1"/>
  <c r="G29" i="10" s="1"/>
  <c r="D28" i="10"/>
  <c r="E28" i="10" s="1"/>
  <c r="F28" i="10" s="1"/>
  <c r="G28" i="10" s="1"/>
  <c r="D27" i="10"/>
  <c r="O19" i="10"/>
  <c r="N19" i="10"/>
  <c r="M19" i="10"/>
  <c r="L19" i="10"/>
  <c r="K19" i="10"/>
  <c r="N16" i="10"/>
  <c r="M16" i="10"/>
  <c r="L16" i="10"/>
  <c r="K16" i="10"/>
  <c r="P16" i="10" s="1"/>
  <c r="N15" i="10"/>
  <c r="M15" i="10"/>
  <c r="L15" i="10"/>
  <c r="K15" i="10"/>
  <c r="P15" i="10" s="1"/>
  <c r="O8" i="10"/>
  <c r="N8" i="10"/>
  <c r="M8" i="10"/>
  <c r="L8" i="10"/>
  <c r="K8" i="10"/>
  <c r="P8" i="10" s="1"/>
  <c r="O7" i="10"/>
  <c r="N7" i="10"/>
  <c r="M7" i="10"/>
  <c r="L7" i="10"/>
  <c r="K7" i="10"/>
  <c r="P7" i="10" s="1"/>
  <c r="O6" i="10"/>
  <c r="N6" i="10"/>
  <c r="M6" i="10"/>
  <c r="L6" i="10"/>
  <c r="K6" i="10"/>
  <c r="P6" i="10" s="1"/>
  <c r="O5" i="10"/>
  <c r="N5" i="10"/>
  <c r="M5" i="10"/>
  <c r="L5" i="10"/>
  <c r="K5" i="10"/>
  <c r="P5" i="10" s="1"/>
  <c r="D25" i="2"/>
  <c r="E25" i="2"/>
  <c r="F25" i="2"/>
  <c r="G25" i="2"/>
  <c r="C25" i="2"/>
  <c r="J4" i="2"/>
  <c r="K4" i="2"/>
  <c r="L4" i="2"/>
  <c r="M4" i="2"/>
  <c r="N4" i="2"/>
  <c r="J5" i="2"/>
  <c r="K5" i="2"/>
  <c r="L5" i="2"/>
  <c r="M5" i="2"/>
  <c r="N5" i="2"/>
  <c r="J6" i="2"/>
  <c r="K6" i="2"/>
  <c r="L6" i="2"/>
  <c r="M6" i="2"/>
  <c r="N6" i="2"/>
  <c r="J7" i="2"/>
  <c r="K7" i="2"/>
  <c r="L7" i="2"/>
  <c r="M7" i="2"/>
  <c r="N7" i="2"/>
  <c r="K3" i="2"/>
  <c r="L3" i="2"/>
  <c r="M3" i="2"/>
  <c r="N3" i="2"/>
  <c r="J3" i="2"/>
  <c r="F14" i="5"/>
  <c r="F15" i="5"/>
  <c r="E15" i="5"/>
  <c r="D15" i="5"/>
  <c r="C14" i="5"/>
  <c r="D24" i="2"/>
  <c r="E24" i="2"/>
  <c r="F24" i="2"/>
  <c r="G24" i="2"/>
  <c r="C24" i="2"/>
  <c r="G20" i="5"/>
  <c r="F20" i="5"/>
  <c r="E20" i="5"/>
  <c r="D20" i="5"/>
  <c r="C20" i="5"/>
  <c r="F18" i="5"/>
  <c r="E18" i="5"/>
  <c r="D18" i="5"/>
  <c r="C18" i="5"/>
  <c r="F17" i="5"/>
  <c r="E17" i="5"/>
  <c r="D17" i="5"/>
  <c r="C17" i="5"/>
  <c r="C15" i="5"/>
  <c r="D23" i="3"/>
  <c r="E23" i="3"/>
  <c r="F23" i="3"/>
  <c r="G23" i="3"/>
  <c r="C23" i="3"/>
  <c r="G13" i="5"/>
  <c r="F13" i="5"/>
  <c r="E13" i="5"/>
  <c r="D13" i="5"/>
  <c r="C13" i="5"/>
  <c r="G12" i="5"/>
  <c r="F12" i="5"/>
  <c r="E12" i="5"/>
  <c r="D12" i="5"/>
  <c r="C12" i="5"/>
  <c r="G11" i="5"/>
  <c r="F11" i="5"/>
  <c r="E11" i="5"/>
  <c r="D11" i="5"/>
  <c r="C11" i="5"/>
  <c r="G10" i="5"/>
  <c r="F10" i="5"/>
  <c r="E10" i="5"/>
  <c r="D10" i="5"/>
  <c r="C10" i="5"/>
  <c r="C6" i="5"/>
  <c r="D6" i="5"/>
  <c r="E6" i="5"/>
  <c r="F6" i="5"/>
  <c r="G6" i="5"/>
  <c r="C7" i="5"/>
  <c r="D7" i="5"/>
  <c r="E7" i="5"/>
  <c r="F7" i="5"/>
  <c r="G7" i="5"/>
  <c r="C8" i="5"/>
  <c r="D8" i="5"/>
  <c r="E8" i="5"/>
  <c r="F8" i="5"/>
  <c r="G8" i="5"/>
  <c r="D5" i="5"/>
  <c r="E5" i="5"/>
  <c r="F5" i="5"/>
  <c r="G5" i="5"/>
  <c r="C5" i="5"/>
  <c r="D4" i="5"/>
  <c r="E4" i="5"/>
  <c r="F4" i="5"/>
  <c r="G4" i="5"/>
  <c r="C4" i="5"/>
  <c r="D9" i="4"/>
  <c r="E9" i="4"/>
  <c r="F9" i="4"/>
  <c r="G9" i="4"/>
  <c r="D6" i="4"/>
  <c r="E6" i="4"/>
  <c r="F6" i="4"/>
  <c r="G6" i="4"/>
  <c r="C6" i="4"/>
  <c r="G14" i="3"/>
  <c r="F14" i="3"/>
  <c r="F5" i="3"/>
  <c r="G5" i="3"/>
  <c r="E5" i="3"/>
  <c r="E14" i="3"/>
  <c r="D14" i="3"/>
  <c r="C5" i="3"/>
  <c r="D5" i="3"/>
  <c r="G19" i="2"/>
  <c r="F19" i="2"/>
  <c r="G9" i="2"/>
  <c r="G3" i="2"/>
  <c r="F9" i="2"/>
  <c r="E19" i="2"/>
  <c r="E9" i="2"/>
  <c r="D19" i="2"/>
  <c r="D9" i="2"/>
  <c r="D3" i="2"/>
  <c r="C10" i="4"/>
  <c r="C9" i="4"/>
  <c r="E18" i="3"/>
  <c r="F18" i="3"/>
  <c r="G18" i="3"/>
  <c r="D18" i="3"/>
  <c r="E13" i="3"/>
  <c r="F13" i="3"/>
  <c r="G13" i="3"/>
  <c r="D13" i="3"/>
  <c r="C14" i="3"/>
  <c r="C19" i="2"/>
  <c r="C9" i="2"/>
  <c r="C3" i="2"/>
  <c r="N14" i="10" l="1"/>
  <c r="M14" i="10"/>
  <c r="N13" i="10"/>
  <c r="M13" i="10"/>
  <c r="N12" i="10"/>
  <c r="M12" i="10"/>
  <c r="K13" i="10"/>
  <c r="L13" i="10"/>
  <c r="P13" i="10" s="1"/>
  <c r="K12" i="10"/>
  <c r="L12" i="10"/>
  <c r="K14" i="10"/>
  <c r="P14" i="10" s="1"/>
  <c r="L14" i="10"/>
  <c r="E14" i="5"/>
  <c r="D14" i="5"/>
  <c r="D30" i="10"/>
  <c r="D34" i="10" s="1"/>
  <c r="E27" i="10"/>
  <c r="F4" i="10"/>
  <c r="F21" i="10" s="1"/>
  <c r="G4" i="10"/>
  <c r="G21" i="10" s="1"/>
  <c r="C4" i="10"/>
  <c r="C21" i="10" s="1"/>
  <c r="C22" i="10" s="1"/>
  <c r="D4" i="10"/>
  <c r="D21" i="10" s="1"/>
  <c r="E4" i="10"/>
  <c r="E21" i="10" s="1"/>
  <c r="P12" i="10" l="1"/>
  <c r="E30" i="10"/>
  <c r="E34" i="10" s="1"/>
  <c r="F27" i="10"/>
  <c r="D22" i="10"/>
  <c r="C24" i="10"/>
  <c r="C5" i="9" s="1"/>
  <c r="D3" i="9" l="1"/>
  <c r="D8" i="9"/>
  <c r="D4" i="9"/>
  <c r="C15" i="9"/>
  <c r="C7" i="9"/>
  <c r="C9" i="9" s="1"/>
  <c r="C16" i="9" s="1"/>
  <c r="G27" i="10"/>
  <c r="G30" i="10" s="1"/>
  <c r="G34" i="10" s="1"/>
  <c r="F30" i="10"/>
  <c r="F34" i="10" s="1"/>
  <c r="E22" i="10"/>
  <c r="D24" i="10"/>
  <c r="D5" i="9" l="1"/>
  <c r="E8" i="9"/>
  <c r="E3" i="9"/>
  <c r="E5" i="9" s="1"/>
  <c r="E4" i="9"/>
  <c r="F22" i="10"/>
  <c r="E24" i="10"/>
  <c r="D7" i="9" l="1"/>
  <c r="D9" i="9" s="1"/>
  <c r="D16" i="9" s="1"/>
  <c r="D15" i="9"/>
  <c r="E15" i="9"/>
  <c r="E7" i="9"/>
  <c r="E9" i="9" s="1"/>
  <c r="E16" i="9" s="1"/>
  <c r="F3" i="9"/>
  <c r="F8" i="9"/>
  <c r="F4" i="9"/>
  <c r="G22" i="10"/>
  <c r="F24" i="10"/>
  <c r="F5" i="9" l="1"/>
  <c r="G24" i="10"/>
  <c r="G8" i="9"/>
  <c r="G3" i="9"/>
  <c r="G4" i="9"/>
  <c r="F7" i="9" l="1"/>
  <c r="F9" i="9" s="1"/>
  <c r="F16" i="9" s="1"/>
  <c r="F15" i="9"/>
  <c r="G5" i="9"/>
  <c r="G7" i="9" l="1"/>
  <c r="G9" i="9" s="1"/>
  <c r="G16" i="9" s="1"/>
  <c r="G15" i="9"/>
  <c r="C18" i="9" l="1"/>
  <c r="C20" i="9" s="1"/>
  <c r="C22" i="9" s="1"/>
</calcChain>
</file>

<file path=xl/sharedStrings.xml><?xml version="1.0" encoding="utf-8"?>
<sst xmlns="http://schemas.openxmlformats.org/spreadsheetml/2006/main" count="164" uniqueCount="132">
  <si>
    <t>WACC</t>
  </si>
  <si>
    <t>N/A</t>
  </si>
  <si>
    <t>TV</t>
  </si>
  <si>
    <t>Enterprise Value</t>
  </si>
  <si>
    <t>Equity Value</t>
  </si>
  <si>
    <t>Revenue - Total</t>
  </si>
  <si>
    <t>Revenue - VAS (Value-added Services)</t>
  </si>
  <si>
    <t>Revenue - Marketing Services</t>
  </si>
  <si>
    <t>Revenue - FinTech and Business Services</t>
  </si>
  <si>
    <t>Revenue - Others</t>
  </si>
  <si>
    <t>Cost of Revenue</t>
  </si>
  <si>
    <t>Gross Profit</t>
  </si>
  <si>
    <t>Selling and Marketing Expenses</t>
  </si>
  <si>
    <t>General and Administrative Expenses</t>
  </si>
  <si>
    <t>Operating Profit (EBIT)</t>
  </si>
  <si>
    <t>Interest Income</t>
  </si>
  <si>
    <t>Finance Costs</t>
  </si>
  <si>
    <t>Profit before Tax</t>
  </si>
  <si>
    <t>Income Tax Expense</t>
  </si>
  <si>
    <t>Net Profit</t>
  </si>
  <si>
    <t>Non-IFRS Operating Profit</t>
  </si>
  <si>
    <t>Non-IFRS Net Profit (Attributable to Equity Holders)</t>
  </si>
  <si>
    <t>Basic EPS (RMB)</t>
  </si>
  <si>
    <t>Diluted EPS (RMB)</t>
  </si>
  <si>
    <t>Cash and Cash Equivalents</t>
  </si>
  <si>
    <t>Term Deposits and Short-term Investments</t>
  </si>
  <si>
    <t>Total Cash and Liquid Assets</t>
  </si>
  <si>
    <t>Accounts Receivable</t>
  </si>
  <si>
    <t>Inventories</t>
  </si>
  <si>
    <t>Total Current Assets</t>
  </si>
  <si>
    <t>Property, Plant and Equipment (PPE)</t>
  </si>
  <si>
    <t>Intangible Assets</t>
  </si>
  <si>
    <t>Right-of-use Assets</t>
  </si>
  <si>
    <t>Total Non-current Assets</t>
  </si>
  <si>
    <t>Total Assets</t>
  </si>
  <si>
    <t>Total Borrowings (Current + Non-current)</t>
  </si>
  <si>
    <t>Accounts Payable</t>
  </si>
  <si>
    <t>Total Current Liabilities</t>
  </si>
  <si>
    <t>Total Non-current Liabilities</t>
  </si>
  <si>
    <t>Total Liabilities</t>
  </si>
  <si>
    <t>Equity Attributable to Equity Holders</t>
  </si>
  <si>
    <t>Non-controlling Interests</t>
  </si>
  <si>
    <t>Total Equity</t>
  </si>
  <si>
    <t>Net Debt / (Net Cash)</t>
  </si>
  <si>
    <t>Cash Generated from Operations</t>
  </si>
  <si>
    <t>Depreciation of PPE, Investment Properties and Right-of-use Assets</t>
  </si>
  <si>
    <t>Amortisation of Intangible Assets and Land Use Rights</t>
  </si>
  <si>
    <t>Total Depreciation &amp; Amortisation (D&amp;A)</t>
  </si>
  <si>
    <t>Capital Expenditure (Capex) - PPE</t>
  </si>
  <si>
    <t>Capital Expenditure (Capex) - Intangible Assets</t>
  </si>
  <si>
    <t>Total Capex</t>
  </si>
  <si>
    <t>Changes in Working Capital (Net)</t>
  </si>
  <si>
    <t>Net Cash Position (End of Year)</t>
  </si>
  <si>
    <t>Capex as % of Revenue</t>
  </si>
  <si>
    <t>Others</t>
  </si>
  <si>
    <t>Depreciation of PP&amp;E, Investment Properties and ROU Assets</t>
  </si>
  <si>
    <t>Item\Year</t>
  </si>
  <si>
    <t>Growth</t>
  </si>
  <si>
    <t>Revenue YoY Growth</t>
  </si>
  <si>
    <t>VAS</t>
  </si>
  <si>
    <t>Marketing Services</t>
  </si>
  <si>
    <t>FinTech &amp; Business Services</t>
  </si>
  <si>
    <t>Profitability</t>
  </si>
  <si>
    <t>Gross Margin</t>
  </si>
  <si>
    <t>Operating Margin</t>
  </si>
  <si>
    <t>Net Profit Margin</t>
  </si>
  <si>
    <t>Non-IFRS Operating Margin</t>
  </si>
  <si>
    <t>Capital Efficiency</t>
  </si>
  <si>
    <t>ROIC</t>
  </si>
  <si>
    <t>ROE</t>
  </si>
  <si>
    <t>Total Asset Turnover</t>
  </si>
  <si>
    <t>Liquidity</t>
  </si>
  <si>
    <t>Current Ratio</t>
  </si>
  <si>
    <t>Effective Tax Rate</t>
  </si>
  <si>
    <t>Invested Capital</t>
  </si>
  <si>
    <t>Fixed Asset Turnover</t>
  </si>
  <si>
    <t>Revenue Growth Rate（Total）</t>
  </si>
  <si>
    <t>VAS Revenue Growth</t>
  </si>
  <si>
    <t>Marketing Services Revenue Growth</t>
  </si>
  <si>
    <t>FinTech and Business Services Revenue Growth</t>
  </si>
  <si>
    <t>Others Revenue Growth</t>
  </si>
  <si>
    <t>EBIT Margin</t>
  </si>
  <si>
    <t>Δ Net Working Capital</t>
  </si>
  <si>
    <t>Risk-free Rate</t>
  </si>
  <si>
    <t>Equity Risk Premium</t>
  </si>
  <si>
    <t>Beta</t>
  </si>
  <si>
    <t>Cost of Equity</t>
  </si>
  <si>
    <t>Cost of Debt</t>
  </si>
  <si>
    <t>Exit Multiple</t>
  </si>
  <si>
    <t>Terminal Growth Rate</t>
  </si>
  <si>
    <t>Growth - VAS</t>
  </si>
  <si>
    <t>Growth - Marketing Services</t>
  </si>
  <si>
    <t>Growth - Fintech and Business Services</t>
  </si>
  <si>
    <t>Growth - Others</t>
  </si>
  <si>
    <t>Growth - Total</t>
  </si>
  <si>
    <t>Markeing Services</t>
  </si>
  <si>
    <t>Fintech and Business</t>
  </si>
  <si>
    <t>Weight of:</t>
  </si>
  <si>
    <t>Average</t>
  </si>
  <si>
    <t>Changes of:</t>
  </si>
  <si>
    <t>Δ Net Working Capital Amount</t>
  </si>
  <si>
    <t>Weight of Equity</t>
  </si>
  <si>
    <t>Weight of Debt</t>
  </si>
  <si>
    <t>Revenue</t>
  </si>
  <si>
    <t>FCFF</t>
  </si>
  <si>
    <t>Changes in D&amp;A</t>
  </si>
  <si>
    <t>NOPAT</t>
  </si>
  <si>
    <t>Capital Expenditure</t>
  </si>
  <si>
    <t>D&amp;A % Of Revenue</t>
  </si>
  <si>
    <t>D&amp;A% Of Revenue</t>
  </si>
  <si>
    <t>TV (Gordon Growth)</t>
  </si>
  <si>
    <t>TV (Exit Multiple)</t>
  </si>
  <si>
    <t>Average TV</t>
  </si>
  <si>
    <t>FCFF/TV</t>
  </si>
  <si>
    <t>Discounting</t>
  </si>
  <si>
    <t>Discount Factor</t>
  </si>
  <si>
    <t>PV:</t>
  </si>
  <si>
    <t>Diluted Shares Outstanding</t>
  </si>
  <si>
    <t>Implied Share Price</t>
  </si>
  <si>
    <t>Tencent Holdings Limited - DCF Valuation Model</t>
  </si>
  <si>
    <t>Prepared by Or Ka Yung Terrance</t>
  </si>
  <si>
    <t xml:space="preserve">June 2026 </t>
  </si>
  <si>
    <t>Financial Report Source</t>
  </si>
  <si>
    <t>(1) Basic Information</t>
  </si>
  <si>
    <t>(2) Summary</t>
  </si>
  <si>
    <t>Share Price</t>
  </si>
  <si>
    <t>(2.2) Results Under Base Assumptions</t>
  </si>
  <si>
    <t>(2.1) Methodology</t>
  </si>
  <si>
    <t>The DCF Model computes Terminal Value with both Gordon Growth and Exit Multiple Method, then takes the average of them.</t>
  </si>
  <si>
    <t>The model's assumptions are based on the offical financial report from 2021 to 2025 and the management information included.</t>
  </si>
  <si>
    <t>The Valuation Timeframe is 5 years apart from the latest annual report (2025), the model support sensitivity analysis to test the impact of key factor's variation.</t>
  </si>
  <si>
    <t>All RMB cells are in million(s)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</si>
</sst>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_ \¥* #,##0_ ;_ \¥* \(#,##0\);_ \¥* &quot;-&quot;_ ;_ @_ "/>
    <numFmt numFmtId="165" formatCode="_ \¥* #,##0.00_ ;_ \¥* \(#,##0.00\);_ \¥* &quot;-&quot;_ ;_ @_ "/>
    <numFmt numFmtId="166" formatCode="_ \¥* #,##0.000_ ;_ \¥* \(#,##0.000\);_ \¥* &quot;-&quot;_ ;_ @_ "/>
    <numFmt numFmtId="167" formatCode="0.0000%"/>
    <numFmt numFmtId="168" formatCode="0.000000"/>
  </numFmts>
  <fonts count="1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003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10" fontId="0" fillId="0" borderId="0" xfId="2" applyNumberFormat="1" applyFont="1" applyBorder="1" applyAlignment="1">
      <alignment horizontal="center"/>
    </xf>
    <xf numFmtId="10" fontId="0" fillId="0" borderId="9" xfId="2" applyNumberFormat="1" applyFont="1" applyBorder="1" applyAlignment="1">
      <alignment horizontal="center"/>
    </xf>
    <xf numFmtId="10" fontId="0" fillId="0" borderId="10" xfId="2" applyNumberFormat="1" applyFont="1" applyBorder="1" applyAlignment="1">
      <alignment horizontal="center"/>
    </xf>
    <xf numFmtId="10" fontId="0" fillId="0" borderId="7" xfId="2" applyNumberFormat="1" applyFont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10" fontId="0" fillId="0" borderId="8" xfId="2" applyNumberFormat="1" applyFont="1" applyBorder="1" applyAlignment="1">
      <alignment horizontal="center"/>
    </xf>
    <xf numFmtId="0" fontId="0" fillId="0" borderId="16" xfId="0" applyBorder="1" applyAlignment="1">
      <alignment horizontal="left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0" borderId="15" xfId="0" applyBorder="1" applyAlignment="1">
      <alignment horizontal="left"/>
    </xf>
    <xf numFmtId="10" fontId="0" fillId="0" borderId="0" xfId="0" applyNumberFormat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0" xfId="2" applyNumberFormat="1" applyFont="1"/>
    <xf numFmtId="0" fontId="0" fillId="0" borderId="19" xfId="0" applyBorder="1" applyAlignment="1">
      <alignment horizontal="left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Alignment="1">
      <alignment horizontal="left" vertical="center"/>
    </xf>
    <xf numFmtId="10" fontId="0" fillId="0" borderId="0" xfId="2" applyNumberFormat="1" applyFont="1" applyAlignment="1">
      <alignment horizontal="center"/>
    </xf>
    <xf numFmtId="3" fontId="0" fillId="0" borderId="0" xfId="0" applyNumberFormat="1" applyAlignment="1">
      <alignment horizontal="left"/>
    </xf>
    <xf numFmtId="10" fontId="0" fillId="0" borderId="0" xfId="0" applyNumberFormat="1"/>
    <xf numFmtId="10" fontId="0" fillId="0" borderId="0" xfId="2" applyNumberFormat="1" applyFont="1" applyAlignment="1">
      <alignment horizontal="left"/>
    </xf>
    <xf numFmtId="167" fontId="0" fillId="0" borderId="0" xfId="0" applyNumberFormat="1" applyAlignment="1">
      <alignment horizontal="left"/>
    </xf>
    <xf numFmtId="10" fontId="2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6" fillId="2" borderId="0" xfId="0" applyFont="1" applyFill="1" applyAlignment="1">
      <alignment horizontal="left" vertical="center"/>
    </xf>
    <xf numFmtId="10" fontId="0" fillId="0" borderId="0" xfId="2" applyNumberFormat="1" applyFont="1" applyFill="1" applyAlignment="1">
      <alignment horizontal="center"/>
    </xf>
    <xf numFmtId="0" fontId="0" fillId="0" borderId="0" xfId="2" applyNumberFormat="1" applyFont="1" applyFill="1" applyAlignment="1">
      <alignment horizontal="center"/>
    </xf>
    <xf numFmtId="0" fontId="0" fillId="0" borderId="0" xfId="2" applyNumberFormat="1" applyFont="1" applyAlignment="1">
      <alignment horizontal="center"/>
    </xf>
    <xf numFmtId="167" fontId="0" fillId="0" borderId="0" xfId="2" applyNumberFormat="1" applyFont="1" applyFill="1" applyAlignment="1">
      <alignment horizontal="center"/>
    </xf>
    <xf numFmtId="1" fontId="0" fillId="0" borderId="0" xfId="2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0" fontId="0" fillId="0" borderId="0" xfId="0" applyNumberFormat="1" applyAlignment="1">
      <alignment horizontal="right"/>
    </xf>
    <xf numFmtId="0" fontId="7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8" fillId="0" borderId="0" xfId="0" applyFont="1"/>
    <xf numFmtId="0" fontId="0" fillId="4" borderId="0" xfId="0" applyFill="1" applyAlignment="1">
      <alignment horizontal="left" vertical="center"/>
    </xf>
    <xf numFmtId="10" fontId="0" fillId="4" borderId="0" xfId="2" applyNumberFormat="1" applyFon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9" fontId="0" fillId="4" borderId="0" xfId="2" applyFont="1" applyFill="1" applyAlignment="1">
      <alignment horizontal="center"/>
    </xf>
    <xf numFmtId="0" fontId="0" fillId="5" borderId="23" xfId="0" applyFill="1" applyBorder="1"/>
    <xf numFmtId="167" fontId="4" fillId="5" borderId="23" xfId="2" applyNumberFormat="1" applyFont="1" applyFill="1" applyBorder="1" applyAlignment="1">
      <alignment horizontal="center"/>
    </xf>
    <xf numFmtId="0" fontId="4" fillId="5" borderId="24" xfId="0" applyFont="1" applyFill="1" applyBorder="1"/>
    <xf numFmtId="164" fontId="4" fillId="5" borderId="24" xfId="1" applyNumberFormat="1" applyFont="1" applyFill="1" applyBorder="1" applyAlignment="1">
      <alignment horizontal="center"/>
    </xf>
    <xf numFmtId="0" fontId="4" fillId="5" borderId="1" xfId="0" applyFont="1" applyFill="1" applyBorder="1"/>
    <xf numFmtId="164" fontId="4" fillId="5" borderId="1" xfId="1" applyNumberFormat="1" applyFont="1" applyFill="1" applyBorder="1" applyAlignment="1">
      <alignment horizontal="center"/>
    </xf>
    <xf numFmtId="0" fontId="4" fillId="5" borderId="23" xfId="0" applyFont="1" applyFill="1" applyBorder="1"/>
    <xf numFmtId="164" fontId="4" fillId="5" borderId="23" xfId="1" applyNumberFormat="1" applyFont="1" applyFill="1" applyBorder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 applyAlignment="1">
      <alignment horizontal="right"/>
    </xf>
    <xf numFmtId="165" fontId="4" fillId="5" borderId="23" xfId="1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164" fontId="0" fillId="0" borderId="0" xfId="1" applyNumberFormat="1" applyFont="1" applyBorder="1" applyAlignment="1">
      <alignment horizontal="left"/>
    </xf>
    <xf numFmtId="0" fontId="9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1" fillId="2" borderId="0" xfId="0" applyFont="1" applyFill="1" applyAlignment="1">
      <alignment horizontal="center"/>
    </xf>
    <xf numFmtId="0" fontId="0" fillId="0" borderId="10" xfId="0" applyBorder="1"/>
    <xf numFmtId="17" fontId="0" fillId="0" borderId="0" xfId="0" quotePrefix="1" applyNumberFormat="1" applyAlignment="1">
      <alignment horizontal="left"/>
    </xf>
    <xf numFmtId="0" fontId="0" fillId="0" borderId="0" xfId="0" quotePrefix="1" applyAlignment="1">
      <alignment horizontal="left"/>
    </xf>
    <xf numFmtId="0" fontId="5" fillId="0" borderId="0" xfId="3" applyBorder="1" applyAlignment="1">
      <alignment horizontal="left"/>
    </xf>
    <xf numFmtId="164" fontId="0" fillId="0" borderId="0" xfId="1" applyNumberFormat="1" applyFont="1" applyBorder="1" applyAlignment="1"/>
    <xf numFmtId="165" fontId="0" fillId="0" borderId="0" xfId="1" applyNumberFormat="1" applyFont="1" applyBorder="1" applyAlignment="1"/>
    <xf numFmtId="0" fontId="0" fillId="0" borderId="7" xfId="0" applyBorder="1"/>
    <xf numFmtId="0" fontId="0" fillId="0" borderId="8" xfId="0" applyBorder="1"/>
    <xf numFmtId="164" fontId="0" fillId="3" borderId="0" xfId="1" applyNumberFormat="1" applyFont="1" applyFill="1" applyAlignment="1">
      <alignment horizontal="left"/>
    </xf>
    <xf numFmtId="0" fontId="10" fillId="2" borderId="0" xfId="0" applyFont="1" applyFill="1" applyAlignment="1">
      <alignment horizontal="left" vertical="center"/>
    </xf>
    <xf numFmtId="0" fontId="1" fillId="6" borderId="0" xfId="0" applyFont="1" applyFill="1" applyAlignment="1">
      <alignment horizontal="center"/>
    </xf>
    <xf numFmtId="0" fontId="6" fillId="0" borderId="0" xfId="0" applyFont="1"/>
    <xf numFmtId="0" fontId="11" fillId="0" borderId="0" xfId="0" applyFont="1"/>
    <xf numFmtId="0" fontId="11" fillId="0" borderId="0" xfId="0" quotePrefix="1" applyFont="1"/>
    <xf numFmtId="0" fontId="1" fillId="2" borderId="0" xfId="0" applyFont="1" applyFill="1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 cent" xfId="2" builtinId="5"/>
  </cellStyles>
  <dxfs count="0"/>
  <tableStyles count="0" defaultTableStyle="TableStyleMedium2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ncent.com/en-us/investor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DA76-C899-439A-BE5A-413FAC4B286A}">
  <sheetPr>
    <tabColor rgb="FF990033"/>
  </sheetPr>
  <dimension ref="B1:N30"/>
  <sheetViews>
    <sheetView showGridLines="0" tabSelected="1" zoomScale="85" zoomScaleNormal="85" workbookViewId="0">
      <selection activeCell="G9" sqref="G9"/>
    </sheetView>
  </sheetViews>
  <sheetFormatPr defaultRowHeight="15" x14ac:dyDescent="0.25"/>
  <cols>
    <col min="1" max="1" width="10.42578125" style="36" customWidth="1"/>
    <col min="2" max="2" width="1.140625" style="36" customWidth="1"/>
    <col min="3" max="3" width="20.7109375" style="36" customWidth="1"/>
    <col min="4" max="8" width="14.7109375" style="36" customWidth="1"/>
    <col min="9" max="9" width="3.5703125" style="36" customWidth="1"/>
    <col min="10" max="10" width="24.42578125" style="36" customWidth="1"/>
    <col min="11" max="11" width="13.5703125" style="36" customWidth="1"/>
    <col min="12" max="12" width="9.140625" style="36"/>
    <col min="13" max="13" width="9.7109375" style="36" customWidth="1"/>
    <col min="14" max="14" width="1.28515625" style="36" customWidth="1"/>
    <col min="15" max="16384" width="9.140625" style="36"/>
  </cols>
  <sheetData>
    <row r="1" spans="2:14" ht="6.75" customHeight="1" x14ac:dyDescent="0.25"/>
    <row r="2" spans="2:14" ht="15.75" thickBot="1" x14ac:dyDescent="0.3"/>
    <row r="3" spans="2:14" ht="4.5" customHeight="1" x14ac:dyDescent="0.25">
      <c r="B3" s="74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6"/>
    </row>
    <row r="4" spans="2:14" ht="24" x14ac:dyDescent="0.25">
      <c r="B4" s="77"/>
      <c r="C4"/>
      <c r="D4" s="88" t="s">
        <v>119</v>
      </c>
      <c r="E4" s="78"/>
      <c r="F4" s="78"/>
      <c r="G4" s="78"/>
      <c r="H4" s="78"/>
      <c r="I4" s="89"/>
      <c r="J4"/>
      <c r="K4"/>
      <c r="L4"/>
      <c r="M4"/>
      <c r="N4" s="79"/>
    </row>
    <row r="5" spans="2:14" x14ac:dyDescent="0.25">
      <c r="B5" s="77"/>
      <c r="C5"/>
      <c r="D5"/>
      <c r="E5"/>
      <c r="F5"/>
      <c r="G5"/>
      <c r="H5"/>
      <c r="I5"/>
      <c r="J5"/>
      <c r="K5"/>
      <c r="L5"/>
      <c r="M5"/>
      <c r="N5" s="79"/>
    </row>
    <row r="6" spans="2:14" ht="15.75" x14ac:dyDescent="0.25">
      <c r="B6" s="77"/>
      <c r="C6" s="90" t="s">
        <v>123</v>
      </c>
      <c r="D6" s="80" t="s">
        <v>120</v>
      </c>
      <c r="E6"/>
      <c r="F6"/>
      <c r="G6"/>
      <c r="H6"/>
      <c r="I6"/>
      <c r="J6"/>
      <c r="K6"/>
      <c r="L6"/>
      <c r="M6"/>
      <c r="N6" s="79"/>
    </row>
    <row r="7" spans="2:14" x14ac:dyDescent="0.25">
      <c r="B7" s="77"/>
      <c r="C7"/>
      <c r="D7" s="81" t="s">
        <v>121</v>
      </c>
      <c r="E7"/>
      <c r="F7"/>
      <c r="G7"/>
      <c r="H7"/>
      <c r="I7"/>
      <c r="J7"/>
      <c r="K7"/>
      <c r="L7"/>
      <c r="M7"/>
      <c r="N7" s="79"/>
    </row>
    <row r="8" spans="2:14" x14ac:dyDescent="0.25">
      <c r="B8" s="77"/>
      <c r="C8"/>
      <c r="D8" s="81" t="s">
        <v>131</v>
      </c>
      <c r="E8"/>
      <c r="F8"/>
      <c r="G8"/>
      <c r="H8"/>
      <c r="I8"/>
      <c r="J8"/>
      <c r="K8"/>
      <c r="L8"/>
      <c r="M8"/>
      <c r="N8" s="79"/>
    </row>
    <row r="9" spans="2:14" x14ac:dyDescent="0.25">
      <c r="B9" s="77"/>
      <c r="C9"/>
      <c r="D9" s="82" t="s">
        <v>122</v>
      </c>
      <c r="E9"/>
      <c r="F9"/>
      <c r="G9"/>
      <c r="H9"/>
      <c r="I9"/>
      <c r="J9"/>
      <c r="K9"/>
      <c r="L9"/>
      <c r="M9"/>
      <c r="N9" s="79"/>
    </row>
    <row r="10" spans="2:14" x14ac:dyDescent="0.25">
      <c r="B10" s="77"/>
      <c r="C10"/>
      <c r="D10"/>
      <c r="E10"/>
      <c r="F10"/>
      <c r="G10"/>
      <c r="H10"/>
      <c r="I10"/>
      <c r="J10"/>
      <c r="K10"/>
      <c r="L10"/>
      <c r="M10"/>
      <c r="N10" s="79"/>
    </row>
    <row r="11" spans="2:14" x14ac:dyDescent="0.25">
      <c r="B11" s="77"/>
      <c r="C11"/>
      <c r="D11"/>
      <c r="E11"/>
      <c r="F11"/>
      <c r="G11"/>
      <c r="H11"/>
      <c r="I11"/>
      <c r="J11"/>
      <c r="K11"/>
      <c r="L11"/>
      <c r="M11"/>
      <c r="N11" s="79"/>
    </row>
    <row r="12" spans="2:14" ht="15.75" x14ac:dyDescent="0.25">
      <c r="B12" s="77"/>
      <c r="C12" s="90" t="s">
        <v>124</v>
      </c>
      <c r="D12" s="91" t="s">
        <v>127</v>
      </c>
      <c r="E12"/>
      <c r="F12"/>
      <c r="G12"/>
      <c r="H12"/>
      <c r="I12"/>
      <c r="J12"/>
      <c r="K12"/>
      <c r="L12"/>
      <c r="M12"/>
      <c r="N12" s="79"/>
    </row>
    <row r="13" spans="2:14" x14ac:dyDescent="0.25">
      <c r="B13" s="77"/>
      <c r="C13"/>
      <c r="D13" t="s">
        <v>128</v>
      </c>
      <c r="E13"/>
      <c r="F13"/>
      <c r="G13"/>
      <c r="H13"/>
      <c r="I13"/>
      <c r="J13"/>
      <c r="K13"/>
      <c r="L13"/>
      <c r="M13"/>
      <c r="N13" s="79"/>
    </row>
    <row r="14" spans="2:14" x14ac:dyDescent="0.25">
      <c r="B14" s="77"/>
      <c r="C14"/>
      <c r="D14" t="s">
        <v>129</v>
      </c>
      <c r="E14"/>
      <c r="F14"/>
      <c r="G14"/>
      <c r="H14"/>
      <c r="I14"/>
      <c r="J14"/>
      <c r="K14"/>
      <c r="L14"/>
      <c r="M14"/>
      <c r="N14" s="79"/>
    </row>
    <row r="15" spans="2:14" x14ac:dyDescent="0.25">
      <c r="B15" s="77"/>
      <c r="C15"/>
      <c r="D15" t="s">
        <v>130</v>
      </c>
      <c r="E15"/>
      <c r="F15"/>
      <c r="G15"/>
      <c r="H15"/>
      <c r="I15"/>
      <c r="J15"/>
      <c r="K15"/>
      <c r="L15"/>
      <c r="M15"/>
      <c r="N15" s="79"/>
    </row>
    <row r="16" spans="2:14" x14ac:dyDescent="0.25">
      <c r="B16" s="77"/>
      <c r="C16"/>
      <c r="D16"/>
      <c r="E16"/>
      <c r="F16"/>
      <c r="G16"/>
      <c r="H16"/>
      <c r="I16"/>
      <c r="J16"/>
      <c r="K16"/>
      <c r="L16"/>
      <c r="M16"/>
      <c r="N16" s="79"/>
    </row>
    <row r="17" spans="2:14" x14ac:dyDescent="0.25">
      <c r="B17" s="77"/>
      <c r="C17"/>
      <c r="D17" s="92" t="s">
        <v>126</v>
      </c>
      <c r="E17" s="73"/>
      <c r="F17"/>
      <c r="G17"/>
      <c r="H17"/>
      <c r="I17"/>
      <c r="J17"/>
      <c r="K17"/>
      <c r="L17"/>
      <c r="M17"/>
      <c r="N17" s="79"/>
    </row>
    <row r="18" spans="2:14" x14ac:dyDescent="0.25">
      <c r="B18" s="77"/>
      <c r="C18"/>
      <c r="D18" s="93" t="s">
        <v>104</v>
      </c>
      <c r="E18" s="93"/>
      <c r="F18" s="93"/>
      <c r="G18" s="93"/>
      <c r="H18" s="93"/>
      <c r="I18"/>
      <c r="J18"/>
      <c r="K18"/>
      <c r="L18"/>
      <c r="M18"/>
      <c r="N18" s="79"/>
    </row>
    <row r="19" spans="2:14" x14ac:dyDescent="0.25">
      <c r="B19" s="77"/>
      <c r="C19"/>
      <c r="D19" s="78">
        <v>2026</v>
      </c>
      <c r="E19" s="78">
        <f>D19+1</f>
        <v>2027</v>
      </c>
      <c r="F19" s="78">
        <f t="shared" ref="F19:H19" si="0">E19+1</f>
        <v>2028</v>
      </c>
      <c r="G19" s="78">
        <f t="shared" si="0"/>
        <v>2029</v>
      </c>
      <c r="H19" s="78">
        <f t="shared" si="0"/>
        <v>2030</v>
      </c>
      <c r="I19"/>
      <c r="J19"/>
      <c r="K19"/>
      <c r="L19"/>
      <c r="M19"/>
      <c r="N19" s="79"/>
    </row>
    <row r="20" spans="2:14" x14ac:dyDescent="0.25">
      <c r="B20" s="77"/>
      <c r="C20"/>
      <c r="D20" s="72">
        <v>186262.42809470132</v>
      </c>
      <c r="E20" s="72">
        <v>201578.70687904095</v>
      </c>
      <c r="F20" s="72">
        <v>209332.27834636418</v>
      </c>
      <c r="G20" s="72">
        <v>215848.98905657817</v>
      </c>
      <c r="H20" s="72">
        <v>221702.36819027064</v>
      </c>
      <c r="I20"/>
      <c r="J20"/>
      <c r="K20"/>
      <c r="L20"/>
      <c r="M20"/>
      <c r="N20" s="79"/>
    </row>
    <row r="21" spans="2:14" x14ac:dyDescent="0.25">
      <c r="B21" s="77"/>
      <c r="C21"/>
      <c r="D21"/>
      <c r="E21"/>
      <c r="F21"/>
      <c r="G21"/>
      <c r="H21"/>
      <c r="I21"/>
      <c r="J21"/>
      <c r="K21"/>
      <c r="L21"/>
      <c r="M21"/>
      <c r="N21" s="79"/>
    </row>
    <row r="22" spans="2:14" x14ac:dyDescent="0.25">
      <c r="B22" s="77"/>
      <c r="C22"/>
      <c r="D22" s="93" t="s">
        <v>2</v>
      </c>
      <c r="E22" s="93"/>
      <c r="F22" s="93"/>
      <c r="G22" s="93"/>
      <c r="H22" s="93"/>
      <c r="I22"/>
      <c r="J22"/>
      <c r="K22"/>
      <c r="L22"/>
      <c r="M22"/>
      <c r="N22" s="79"/>
    </row>
    <row r="23" spans="2:14" x14ac:dyDescent="0.25">
      <c r="B23" s="77"/>
      <c r="C23"/>
      <c r="D23" s="78">
        <v>2026</v>
      </c>
      <c r="E23" s="78">
        <f>D23+1</f>
        <v>2027</v>
      </c>
      <c r="F23" s="78">
        <f t="shared" ref="F23:H23" si="1">E23+1</f>
        <v>2028</v>
      </c>
      <c r="G23" s="78">
        <f t="shared" si="1"/>
        <v>2029</v>
      </c>
      <c r="H23" s="78">
        <f t="shared" si="1"/>
        <v>2030</v>
      </c>
      <c r="I23"/>
      <c r="J23"/>
      <c r="K23"/>
      <c r="L23"/>
      <c r="M23"/>
      <c r="N23" s="79"/>
    </row>
    <row r="24" spans="2:14" x14ac:dyDescent="0.25">
      <c r="B24" s="77"/>
      <c r="C24"/>
      <c r="D24" s="72">
        <v>3124707.1816831073</v>
      </c>
      <c r="E24" s="72">
        <v>3274388.1652401877</v>
      </c>
      <c r="F24" s="72">
        <v>3342951.7142109638</v>
      </c>
      <c r="G24" s="72">
        <v>3404689.8399995905</v>
      </c>
      <c r="H24" s="72">
        <v>3479672.9521323489</v>
      </c>
      <c r="I24"/>
      <c r="J24"/>
      <c r="K24"/>
      <c r="L24"/>
      <c r="M24"/>
      <c r="N24" s="79"/>
    </row>
    <row r="25" spans="2:14" x14ac:dyDescent="0.25">
      <c r="B25" s="77"/>
      <c r="C25"/>
      <c r="D25"/>
      <c r="E25"/>
      <c r="F25"/>
      <c r="G25"/>
      <c r="H25"/>
      <c r="I25"/>
      <c r="J25"/>
      <c r="K25"/>
      <c r="L25"/>
      <c r="M25"/>
      <c r="N25" s="79"/>
    </row>
    <row r="26" spans="2:14" x14ac:dyDescent="0.25">
      <c r="B26" s="77"/>
      <c r="C26"/>
      <c r="D26" s="78" t="s">
        <v>3</v>
      </c>
      <c r="E26" s="78" t="s">
        <v>4</v>
      </c>
      <c r="F26" s="78" t="s">
        <v>125</v>
      </c>
      <c r="G26"/>
      <c r="H26"/>
      <c r="I26"/>
      <c r="J26"/>
      <c r="K26"/>
      <c r="L26"/>
      <c r="M26"/>
      <c r="N26" s="79"/>
    </row>
    <row r="27" spans="2:14" x14ac:dyDescent="0.25">
      <c r="B27" s="77"/>
      <c r="C27"/>
      <c r="D27" s="83">
        <v>4514397.7226993041</v>
      </c>
      <c r="E27" s="83">
        <v>4534629.7226993041</v>
      </c>
      <c r="F27" s="84">
        <v>490.54843387054348</v>
      </c>
      <c r="G27"/>
      <c r="H27"/>
      <c r="I27"/>
      <c r="J27"/>
      <c r="K27"/>
      <c r="L27"/>
      <c r="M27"/>
      <c r="N27" s="79"/>
    </row>
    <row r="28" spans="2:14" ht="4.5" customHeight="1" thickBot="1" x14ac:dyDescent="0.3">
      <c r="B28" s="8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86"/>
    </row>
    <row r="30" spans="2:14" x14ac:dyDescent="0.25">
      <c r="E30" s="87"/>
    </row>
  </sheetData>
  <mergeCells count="2">
    <mergeCell ref="D18:H18"/>
    <mergeCell ref="D22:H22"/>
  </mergeCells>
  <hyperlinks>
    <hyperlink ref="D9" r:id="rId1" xr:uid="{2C1B9A51-56A8-4BE1-8EF2-709627492E4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4466-444B-4867-9CF0-AD00341C6768}">
  <sheetPr codeName="Sheet1">
    <tabColor theme="5" tint="0.39997558519241921"/>
  </sheetPr>
  <dimension ref="B2:P39"/>
  <sheetViews>
    <sheetView showGridLines="0" topLeftCell="A3" zoomScale="115" zoomScaleNormal="115" workbookViewId="0">
      <selection activeCell="D13" sqref="D13"/>
    </sheetView>
  </sheetViews>
  <sheetFormatPr defaultRowHeight="15" x14ac:dyDescent="0.25"/>
  <cols>
    <col min="2" max="2" width="42.7109375" style="5" customWidth="1"/>
    <col min="3" max="4" width="10.140625" style="1" bestFit="1" customWidth="1"/>
    <col min="5" max="7" width="11.85546875" style="1" bestFit="1" customWidth="1"/>
    <col min="8" max="9" width="2" customWidth="1"/>
    <col min="10" max="10" width="31.28515625" style="5" customWidth="1"/>
    <col min="11" max="11" width="9.85546875" style="1" customWidth="1"/>
    <col min="12" max="13" width="9.140625" style="1"/>
    <col min="14" max="14" width="10.85546875" style="1" customWidth="1"/>
    <col min="15" max="15" width="9.140625" style="1"/>
    <col min="16" max="16" width="8.5703125" customWidth="1"/>
  </cols>
  <sheetData>
    <row r="2" spans="2:16" ht="28.5" x14ac:dyDescent="0.45">
      <c r="B2" s="49"/>
    </row>
    <row r="3" spans="2:16" ht="15.75" x14ac:dyDescent="0.25">
      <c r="B3" s="38"/>
      <c r="C3" s="47">
        <v>2026</v>
      </c>
      <c r="D3" s="47">
        <v>2027</v>
      </c>
      <c r="E3" s="47">
        <v>2028</v>
      </c>
      <c r="F3" s="47">
        <v>2029</v>
      </c>
      <c r="G3" s="47">
        <v>2030</v>
      </c>
      <c r="J3" s="5" t="s">
        <v>97</v>
      </c>
      <c r="K3" s="47">
        <v>2025</v>
      </c>
      <c r="L3" s="47">
        <v>2024</v>
      </c>
      <c r="M3" s="47">
        <v>2023</v>
      </c>
      <c r="N3" s="47">
        <v>2022</v>
      </c>
      <c r="O3" s="47">
        <v>2021</v>
      </c>
      <c r="P3" s="47" t="s">
        <v>98</v>
      </c>
    </row>
    <row r="4" spans="2:16" x14ac:dyDescent="0.25">
      <c r="B4" s="28" t="s">
        <v>76</v>
      </c>
      <c r="C4" s="34">
        <f>C5*$P$5+C6*$P$6+C7*$P$7+C8*$P$8</f>
        <v>0.13233517248191123</v>
      </c>
      <c r="D4" s="34">
        <f t="shared" ref="D4:G4" si="0">D5*$P$5+D6*$P$6+D7*$P$7+D8*$P$8</f>
        <v>0.11895980990009387</v>
      </c>
      <c r="E4" s="34">
        <f t="shared" si="0"/>
        <v>0.10631710320004052</v>
      </c>
      <c r="F4" s="34">
        <f t="shared" si="0"/>
        <v>0.10636783737864425</v>
      </c>
      <c r="G4" s="34">
        <f t="shared" si="0"/>
        <v>0.11356663286674239</v>
      </c>
      <c r="J4" s="37"/>
      <c r="K4" s="35"/>
      <c r="L4" s="35"/>
      <c r="M4" s="35"/>
      <c r="N4" s="35"/>
      <c r="O4" s="35"/>
      <c r="P4" s="36"/>
    </row>
    <row r="5" spans="2:16" x14ac:dyDescent="0.25">
      <c r="B5" s="50" t="s">
        <v>77</v>
      </c>
      <c r="C5" s="51">
        <v>0.15</v>
      </c>
      <c r="D5" s="51">
        <v>0.12</v>
      </c>
      <c r="E5" s="51">
        <v>0.09</v>
      </c>
      <c r="F5" s="51">
        <v>8.5000000000000006E-2</v>
      </c>
      <c r="G5" s="51">
        <v>8.5000000000000006E-2</v>
      </c>
      <c r="J5" s="32" t="s">
        <v>59</v>
      </c>
      <c r="K5" s="29">
        <f>'Income Statement'!C4/'Income Statement'!C$3</f>
        <v>0.49121801198777282</v>
      </c>
      <c r="L5" s="29">
        <f>'Income Statement'!D4/'Income Statement'!D$3</f>
        <v>0.48339964589546192</v>
      </c>
      <c r="M5" s="29">
        <f>'Income Statement'!E4/'Income Statement'!E$3</f>
        <v>0.48993046148288633</v>
      </c>
      <c r="N5" s="29">
        <f>'Income Statement'!F4/'Income Statement'!F$3</f>
        <v>0.5185537154315556</v>
      </c>
      <c r="O5" s="29">
        <f>'Income Statement'!G4/'Income Statement'!G$3</f>
        <v>0.52055459742411425</v>
      </c>
      <c r="P5" s="31">
        <f>AVERAGE(K5:O5)</f>
        <v>0.50073128644435827</v>
      </c>
    </row>
    <row r="6" spans="2:16" x14ac:dyDescent="0.25">
      <c r="B6" s="50" t="s">
        <v>78</v>
      </c>
      <c r="C6" s="51">
        <v>0.19500000000000001</v>
      </c>
      <c r="D6" s="51">
        <v>0.19</v>
      </c>
      <c r="E6" s="51">
        <v>0.2</v>
      </c>
      <c r="F6" s="51">
        <v>0.20499999999999999</v>
      </c>
      <c r="G6" s="51">
        <v>0.22</v>
      </c>
      <c r="J6" s="33" t="s">
        <v>95</v>
      </c>
      <c r="K6" s="29">
        <f>'Income Statement'!C5/'Income Statement'!C$3</f>
        <v>0.19284325175653061</v>
      </c>
      <c r="L6" s="29">
        <f>'Income Statement'!D5/'Income Statement'!D$3</f>
        <v>0.18382841832801469</v>
      </c>
      <c r="M6" s="29">
        <f>'Income Statement'!E5/'Income Statement'!E$3</f>
        <v>0.16663300575519485</v>
      </c>
      <c r="N6" s="29">
        <f>'Income Statement'!F5/'Income Statement'!F$3</f>
        <v>0.14918168178998542</v>
      </c>
      <c r="O6" s="29">
        <f>'Income Statement'!G5/'Income Statement'!G$3</f>
        <v>0.15829878704130201</v>
      </c>
      <c r="P6" s="31">
        <f t="shared" ref="P6:P8" si="1">AVERAGE(K6:O6)</f>
        <v>0.17015702893420551</v>
      </c>
    </row>
    <row r="7" spans="2:16" x14ac:dyDescent="0.25">
      <c r="B7" s="50" t="s">
        <v>79</v>
      </c>
      <c r="C7" s="51">
        <v>7.4999999999999997E-2</v>
      </c>
      <c r="D7" s="51">
        <v>8.2500000000000004E-2</v>
      </c>
      <c r="E7" s="51">
        <v>8.5000000000000006E-2</v>
      </c>
      <c r="F7" s="51">
        <v>0.09</v>
      </c>
      <c r="G7" s="51">
        <v>0.105</v>
      </c>
      <c r="J7" s="5" t="s">
        <v>96</v>
      </c>
      <c r="K7" s="29">
        <f>'Income Statement'!C6/'Income Statement'!C$3</f>
        <v>0.30519470154276729</v>
      </c>
      <c r="L7" s="29">
        <f>'Income Statement'!D6/'Income Statement'!D$3</f>
        <v>0.32102045112736405</v>
      </c>
      <c r="M7" s="29">
        <f>'Income Statement'!E6/'Income Statement'!E$3</f>
        <v>0.33457796605994927</v>
      </c>
      <c r="N7" s="29">
        <f>'Income Statement'!F6/'Income Statement'!F$3</f>
        <v>0.31929196901282475</v>
      </c>
      <c r="O7" s="29">
        <f>'Income Statement'!G6/'Income Statement'!G$3</f>
        <v>0.30742629231697605</v>
      </c>
      <c r="P7" s="31">
        <f t="shared" si="1"/>
        <v>0.31750227601197628</v>
      </c>
    </row>
    <row r="8" spans="2:16" x14ac:dyDescent="0.25">
      <c r="B8" s="50" t="s">
        <v>80</v>
      </c>
      <c r="C8" s="51">
        <v>0.02</v>
      </c>
      <c r="D8" s="51">
        <v>0.03</v>
      </c>
      <c r="E8" s="51">
        <v>0.02</v>
      </c>
      <c r="F8" s="51">
        <v>0.03</v>
      </c>
      <c r="G8" s="51">
        <v>0.02</v>
      </c>
      <c r="J8" s="5" t="s">
        <v>54</v>
      </c>
      <c r="K8" s="29">
        <f>'Income Statement'!C7/'Income Statement'!C$3</f>
        <v>1.074403471292929E-2</v>
      </c>
      <c r="L8" s="29">
        <f>'Income Statement'!D7/'Income Statement'!D$3</f>
        <v>1.1751484649159342E-2</v>
      </c>
      <c r="M8" s="29">
        <f>'Income Statement'!E7/'Income Statement'!E$3</f>
        <v>8.8585667019695745E-3</v>
      </c>
      <c r="N8" s="29">
        <f>'Income Statement'!F7/'Income Statement'!F$3</f>
        <v>1.2972633765634243E-2</v>
      </c>
      <c r="O8" s="29">
        <f>'Income Statement'!G7/'Income Statement'!G$3</f>
        <v>1.3720323217607718E-2</v>
      </c>
      <c r="P8" s="31">
        <f t="shared" si="1"/>
        <v>1.1609408609460033E-2</v>
      </c>
    </row>
    <row r="9" spans="2:16" x14ac:dyDescent="0.25">
      <c r="C9" s="39"/>
      <c r="D9" s="39"/>
      <c r="E9" s="39"/>
      <c r="F9" s="39"/>
      <c r="G9" s="39"/>
      <c r="K9" s="21"/>
      <c r="L9" s="21"/>
      <c r="M9" s="21"/>
      <c r="N9" s="21"/>
      <c r="O9" s="21"/>
    </row>
    <row r="10" spans="2:16" x14ac:dyDescent="0.25">
      <c r="C10" s="29"/>
      <c r="D10" s="29"/>
      <c r="E10" s="29"/>
      <c r="F10" s="29"/>
      <c r="G10" s="29"/>
    </row>
    <row r="11" spans="2:16" ht="15.75" x14ac:dyDescent="0.25">
      <c r="B11" s="38"/>
      <c r="C11" s="47">
        <v>2026</v>
      </c>
      <c r="D11" s="47">
        <v>2027</v>
      </c>
      <c r="E11" s="47">
        <v>2028</v>
      </c>
      <c r="F11" s="47">
        <v>2029</v>
      </c>
      <c r="G11" s="47">
        <v>2030</v>
      </c>
      <c r="J11" s="5" t="s">
        <v>99</v>
      </c>
      <c r="K11" s="47">
        <v>2025</v>
      </c>
      <c r="L11" s="47">
        <v>2024</v>
      </c>
      <c r="M11" s="47">
        <v>2023</v>
      </c>
      <c r="N11" s="47">
        <v>2022</v>
      </c>
      <c r="O11" s="47">
        <v>2021</v>
      </c>
      <c r="P11" s="47" t="s">
        <v>98</v>
      </c>
    </row>
    <row r="12" spans="2:16" x14ac:dyDescent="0.25">
      <c r="B12" s="52" t="s">
        <v>63</v>
      </c>
      <c r="C12" s="51">
        <v>0.56599999999999995</v>
      </c>
      <c r="D12" s="51">
        <v>0.56899999999999995</v>
      </c>
      <c r="E12" s="51">
        <v>0.56699999999999995</v>
      </c>
      <c r="F12" s="51">
        <v>0.57499999999999996</v>
      </c>
      <c r="G12" s="51">
        <v>0.57999999999999996</v>
      </c>
      <c r="J12" t="s">
        <v>63</v>
      </c>
      <c r="K12" s="21">
        <f>'Key Indicators'!C10-'Key Indicators'!D10</f>
        <v>3.3179061525704601E-2</v>
      </c>
      <c r="L12" s="21">
        <f>'Key Indicators'!D10-'Key Indicators'!E10</f>
        <v>4.7670922107946045E-2</v>
      </c>
      <c r="M12" s="21">
        <f>'Key Indicators'!E10-'Key Indicators'!F10</f>
        <v>5.0763220006695808E-2</v>
      </c>
      <c r="N12" s="21">
        <f>'Key Indicators'!F10-'Key Indicators'!G10</f>
        <v>-8.5726988604533094E-3</v>
      </c>
      <c r="O12" s="21" t="s">
        <v>1</v>
      </c>
      <c r="P12" s="31">
        <f>AVERAGE(K12:O12)</f>
        <v>3.0760126194973286E-2</v>
      </c>
    </row>
    <row r="13" spans="2:16" x14ac:dyDescent="0.25">
      <c r="B13" s="52" t="s">
        <v>81</v>
      </c>
      <c r="C13" s="51">
        <v>0.32600000000000001</v>
      </c>
      <c r="D13" s="51">
        <v>0.33</v>
      </c>
      <c r="E13" s="51">
        <v>0.33200000000000002</v>
      </c>
      <c r="F13" s="51">
        <v>0.33400000000000002</v>
      </c>
      <c r="G13" s="51">
        <v>0.33700000000000002</v>
      </c>
      <c r="J13" t="s">
        <v>81</v>
      </c>
      <c r="K13" s="21">
        <f>'Key Indicators'!C11-'Key Indicators'!D11</f>
        <v>6.1472644831719325E-3</v>
      </c>
      <c r="L13" s="21">
        <f>'Key Indicators'!D11-'Key Indicators'!E11</f>
        <v>5.2337969713596999E-2</v>
      </c>
      <c r="M13" s="21">
        <f>'Key Indicators'!E11-'Key Indicators'!F11</f>
        <v>6.2991208396160181E-2</v>
      </c>
      <c r="N13" s="21">
        <f>'Key Indicators'!F11-'Key Indicators'!G11</f>
        <v>-2.2703496548979574E-2</v>
      </c>
      <c r="O13" s="21" t="s">
        <v>1</v>
      </c>
      <c r="P13" s="31">
        <f t="shared" ref="P13:P16" si="2">AVERAGE(K13:O13)</f>
        <v>2.4693236510987385E-2</v>
      </c>
    </row>
    <row r="14" spans="2:16" x14ac:dyDescent="0.25">
      <c r="B14" s="52" t="s">
        <v>66</v>
      </c>
      <c r="C14" s="51">
        <v>0.38200000000000001</v>
      </c>
      <c r="D14" s="51">
        <v>0.38500000000000001</v>
      </c>
      <c r="E14" s="51">
        <v>0.38200000000000001</v>
      </c>
      <c r="F14" s="51">
        <v>0.38600000000000001</v>
      </c>
      <c r="G14" s="51">
        <v>0.39</v>
      </c>
      <c r="J14" t="s">
        <v>66</v>
      </c>
      <c r="K14" s="21">
        <f>'Key Indicators'!C12-'Key Indicators'!D12</f>
        <v>1.3149489524908686E-2</v>
      </c>
      <c r="L14" s="21">
        <f>'Key Indicators'!D12-'Key Indicators'!E12</f>
        <v>4.5103461926448207E-2</v>
      </c>
      <c r="M14" s="21">
        <f>'Key Indicators'!E12-'Key Indicators'!F12</f>
        <v>5.6844113300105359E-2</v>
      </c>
      <c r="N14" s="21">
        <f>'Key Indicators'!F12-'Key Indicators'!G12</f>
        <v>-1.4441031017216666E-2</v>
      </c>
      <c r="O14" s="21" t="s">
        <v>1</v>
      </c>
      <c r="P14" s="31">
        <f t="shared" si="2"/>
        <v>2.5164008433561397E-2</v>
      </c>
    </row>
    <row r="15" spans="2:16" x14ac:dyDescent="0.25">
      <c r="B15" s="52" t="s">
        <v>73</v>
      </c>
      <c r="C15" s="51">
        <v>0.17199999999999999</v>
      </c>
      <c r="D15" s="51">
        <v>0.17499999999999999</v>
      </c>
      <c r="E15" s="51">
        <v>0.17100000000000001</v>
      </c>
      <c r="F15" s="51">
        <v>0.17799999999999999</v>
      </c>
      <c r="G15" s="51">
        <v>0.18</v>
      </c>
      <c r="J15" t="s">
        <v>73</v>
      </c>
      <c r="K15" s="21">
        <f>'Income Statement'!C24-'Income Statement'!D24</f>
        <v>-1.5282937464656143E-2</v>
      </c>
      <c r="L15" s="21">
        <f>'Income Statement'!D24-'Income Statement'!E24</f>
        <v>-8.183367145227799E-2</v>
      </c>
      <c r="M15" s="21">
        <f>'Income Statement'!E24-'Income Statement'!F24</f>
        <v>0.16590770347900557</v>
      </c>
      <c r="N15" s="21">
        <f>'Income Statement'!F24-'Income Statement'!G24</f>
        <v>2.0706604735118914E-2</v>
      </c>
      <c r="O15" s="1" t="s">
        <v>1</v>
      </c>
      <c r="P15" s="31">
        <f t="shared" si="2"/>
        <v>2.2374424824297589E-2</v>
      </c>
    </row>
    <row r="16" spans="2:16" x14ac:dyDescent="0.25">
      <c r="B16" s="53" t="s">
        <v>109</v>
      </c>
      <c r="C16" s="51">
        <v>8.5000000000000006E-2</v>
      </c>
      <c r="D16" s="51">
        <v>8.5000000000000006E-2</v>
      </c>
      <c r="E16" s="51">
        <v>8.5000000000000006E-2</v>
      </c>
      <c r="F16" s="51">
        <v>8.5000000000000006E-2</v>
      </c>
      <c r="G16" s="51">
        <v>8.5000000000000006E-2</v>
      </c>
      <c r="J16" s="5" t="s">
        <v>105</v>
      </c>
      <c r="K16" s="3">
        <f>SUM('Income Statement'!C12:C13)-SUM('Income Statement'!D12:D13)</f>
        <v>9931</v>
      </c>
      <c r="L16" s="3">
        <f>SUM('Income Statement'!D12:D13)-SUM('Income Statement'!E12:E13)</f>
        <v>-2911</v>
      </c>
      <c r="M16" s="3">
        <f>SUM('Income Statement'!E12:E13)-SUM('Income Statement'!F12:F13)</f>
        <v>-2208</v>
      </c>
      <c r="N16" s="3">
        <f>SUM('Income Statement'!F12:F13)-SUM('Income Statement'!G12:G13)</f>
        <v>3546</v>
      </c>
      <c r="O16" s="3" t="s">
        <v>1</v>
      </c>
      <c r="P16" s="3">
        <f t="shared" si="2"/>
        <v>2089.5</v>
      </c>
    </row>
    <row r="17" spans="2:16" x14ac:dyDescent="0.25">
      <c r="C17" s="29"/>
      <c r="D17" s="29"/>
      <c r="E17" s="29"/>
      <c r="F17" s="29"/>
      <c r="G17" s="29"/>
    </row>
    <row r="18" spans="2:16" ht="15.75" x14ac:dyDescent="0.25">
      <c r="B18" s="38"/>
      <c r="C18" s="47">
        <v>2026</v>
      </c>
      <c r="D18" s="47">
        <v>2027</v>
      </c>
      <c r="E18" s="47">
        <v>2028</v>
      </c>
      <c r="F18" s="47">
        <v>2029</v>
      </c>
      <c r="G18" s="47">
        <v>2030</v>
      </c>
      <c r="K18" s="47">
        <v>2025</v>
      </c>
      <c r="L18" s="47">
        <v>2024</v>
      </c>
      <c r="M18" s="47">
        <v>2023</v>
      </c>
      <c r="N18" s="47">
        <v>2022</v>
      </c>
      <c r="O18" s="47">
        <v>2021</v>
      </c>
      <c r="P18" s="47" t="s">
        <v>98</v>
      </c>
    </row>
    <row r="19" spans="2:16" x14ac:dyDescent="0.25">
      <c r="B19" s="52" t="s">
        <v>53</v>
      </c>
      <c r="C19" s="51">
        <v>0.1075</v>
      </c>
      <c r="D19" s="51">
        <v>9.5000000000000001E-2</v>
      </c>
      <c r="E19" s="51">
        <v>0.09</v>
      </c>
      <c r="F19" s="51">
        <v>8.2500000000000004E-2</v>
      </c>
      <c r="G19" s="51">
        <v>0.08</v>
      </c>
      <c r="J19" t="s">
        <v>53</v>
      </c>
      <c r="K19" s="29">
        <f>'Cash Flow'!C9/'Income Statement'!C3*-1</f>
        <v>0.15015443635386544</v>
      </c>
      <c r="L19" s="29">
        <f>'Cash Flow'!D9/'Income Statement'!D3*-1</f>
        <v>0.13528217042757593</v>
      </c>
      <c r="M19" s="29">
        <f>'Cash Flow'!E9/'Income Statement'!E3*-1</f>
        <v>7.7255896816991368E-2</v>
      </c>
      <c r="N19" s="29">
        <f>'Cash Flow'!F9/'Income Statement'!F3*-1</f>
        <v>9.0747125607697751E-2</v>
      </c>
      <c r="O19" s="29">
        <f>'Cash Flow'!G9/'Income Statement'!G3*-1</f>
        <v>0.10794332622768774</v>
      </c>
    </row>
    <row r="20" spans="2:16" x14ac:dyDescent="0.25">
      <c r="B20"/>
      <c r="C20" s="40"/>
      <c r="D20" s="40"/>
      <c r="E20" s="40"/>
      <c r="F20" s="40"/>
      <c r="G20" s="40"/>
      <c r="J20"/>
    </row>
    <row r="21" spans="2:16" x14ac:dyDescent="0.25">
      <c r="B21" s="28" t="s">
        <v>76</v>
      </c>
      <c r="C21" s="39">
        <f>C4</f>
        <v>0.13233517248191123</v>
      </c>
      <c r="D21" s="39">
        <f t="shared" ref="D21:G21" si="3">D4</f>
        <v>0.11895980990009387</v>
      </c>
      <c r="E21" s="39">
        <f t="shared" si="3"/>
        <v>0.10631710320004052</v>
      </c>
      <c r="F21" s="39">
        <f t="shared" si="3"/>
        <v>0.10636783737864425</v>
      </c>
      <c r="G21" s="39">
        <f t="shared" si="3"/>
        <v>0.11356663286674239</v>
      </c>
      <c r="K21" s="41"/>
      <c r="L21" s="41"/>
      <c r="M21" s="41"/>
      <c r="N21" s="41"/>
    </row>
    <row r="22" spans="2:16" x14ac:dyDescent="0.25">
      <c r="B22" s="28" t="s">
        <v>103</v>
      </c>
      <c r="C22" s="3">
        <f>'Income Statement'!C3*(1+'FCFF &amp; Assumptions'!C21)</f>
        <v>851251.08327603654</v>
      </c>
      <c r="D22" s="3">
        <f>C22*(1+D21)</f>
        <v>952515.7503198029</v>
      </c>
      <c r="E22" s="3">
        <f t="shared" ref="E22:G22" si="4">D22*(1+E21)</f>
        <v>1053784.4656462173</v>
      </c>
      <c r="F22" s="3">
        <f t="shared" si="4"/>
        <v>1165873.2403202157</v>
      </c>
      <c r="G22" s="3">
        <f t="shared" si="4"/>
        <v>1298277.5385728211</v>
      </c>
      <c r="K22" s="41"/>
      <c r="L22" s="41"/>
      <c r="M22" s="41"/>
      <c r="N22" s="41"/>
    </row>
    <row r="23" spans="2:16" x14ac:dyDescent="0.25">
      <c r="B23" s="52" t="s">
        <v>82</v>
      </c>
      <c r="C23" s="51">
        <v>5.5E-2</v>
      </c>
      <c r="D23" s="51">
        <v>5.1999999999999998E-2</v>
      </c>
      <c r="E23" s="51">
        <v>0.05</v>
      </c>
      <c r="F23" s="51">
        <v>4.8000000000000001E-2</v>
      </c>
      <c r="G23" s="51">
        <v>4.4999999999999998E-2</v>
      </c>
      <c r="K23" s="41"/>
      <c r="L23" s="41"/>
      <c r="M23" s="41"/>
      <c r="N23" s="41"/>
    </row>
    <row r="24" spans="2:16" x14ac:dyDescent="0.25">
      <c r="B24" t="s">
        <v>100</v>
      </c>
      <c r="C24" s="43">
        <f>C23*(C22-'Income Statement'!C3)</f>
        <v>5471.6795801820099</v>
      </c>
      <c r="D24" s="43">
        <f>D23*(D22-C22)</f>
        <v>5265.7626862758507</v>
      </c>
      <c r="E24" s="43">
        <f t="shared" ref="E24:G24" si="5">E23*(E22-D22)</f>
        <v>5063.4357663207229</v>
      </c>
      <c r="F24" s="43">
        <f t="shared" si="5"/>
        <v>5380.2611843519207</v>
      </c>
      <c r="G24" s="43">
        <f t="shared" si="5"/>
        <v>5958.1934213672412</v>
      </c>
      <c r="K24" s="41"/>
      <c r="L24" s="41"/>
      <c r="M24" s="41"/>
      <c r="N24" s="41"/>
    </row>
    <row r="25" spans="2:16" x14ac:dyDescent="0.25">
      <c r="C25" s="29"/>
      <c r="D25" s="29"/>
      <c r="E25" s="29"/>
      <c r="F25" s="29"/>
      <c r="G25" s="29"/>
    </row>
    <row r="26" spans="2:16" ht="15.75" x14ac:dyDescent="0.25">
      <c r="B26" s="38"/>
      <c r="C26" s="47">
        <v>2026</v>
      </c>
      <c r="D26" s="47">
        <v>2027</v>
      </c>
      <c r="E26" s="47">
        <v>2028</v>
      </c>
      <c r="F26" s="47">
        <v>2029</v>
      </c>
      <c r="G26" s="47">
        <v>2030</v>
      </c>
    </row>
    <row r="27" spans="2:16" x14ac:dyDescent="0.25">
      <c r="B27" s="52" t="s">
        <v>83</v>
      </c>
      <c r="C27" s="54">
        <v>0.04</v>
      </c>
      <c r="D27" s="54">
        <f>C27</f>
        <v>0.04</v>
      </c>
      <c r="E27" s="54">
        <f t="shared" ref="E27:G29" si="6">D27</f>
        <v>0.04</v>
      </c>
      <c r="F27" s="54">
        <f t="shared" si="6"/>
        <v>0.04</v>
      </c>
      <c r="G27" s="54">
        <f t="shared" si="6"/>
        <v>0.04</v>
      </c>
    </row>
    <row r="28" spans="2:16" x14ac:dyDescent="0.25">
      <c r="B28" s="52" t="s">
        <v>84</v>
      </c>
      <c r="C28" s="51">
        <v>0.06</v>
      </c>
      <c r="D28" s="51">
        <f>C28</f>
        <v>0.06</v>
      </c>
      <c r="E28" s="51">
        <f t="shared" si="6"/>
        <v>0.06</v>
      </c>
      <c r="F28" s="51">
        <f t="shared" si="6"/>
        <v>0.06</v>
      </c>
      <c r="G28" s="51">
        <f t="shared" si="6"/>
        <v>0.06</v>
      </c>
    </row>
    <row r="29" spans="2:16" x14ac:dyDescent="0.25">
      <c r="B29" s="52" t="s">
        <v>85</v>
      </c>
      <c r="C29" s="55">
        <v>1.1499999999999999</v>
      </c>
      <c r="D29" s="55">
        <f>C29</f>
        <v>1.1499999999999999</v>
      </c>
      <c r="E29" s="55">
        <f t="shared" si="6"/>
        <v>1.1499999999999999</v>
      </c>
      <c r="F29" s="55">
        <f t="shared" si="6"/>
        <v>1.1499999999999999</v>
      </c>
      <c r="G29" s="55">
        <f t="shared" si="6"/>
        <v>1.1499999999999999</v>
      </c>
    </row>
    <row r="30" spans="2:16" x14ac:dyDescent="0.25">
      <c r="B30" t="s">
        <v>86</v>
      </c>
      <c r="C30" s="39">
        <f>C27+C29*C28</f>
        <v>0.10899999999999999</v>
      </c>
      <c r="D30" s="39">
        <f t="shared" ref="D30:G30" si="7">D27+D29*D28</f>
        <v>0.10899999999999999</v>
      </c>
      <c r="E30" s="39">
        <f t="shared" si="7"/>
        <v>0.10899999999999999</v>
      </c>
      <c r="F30" s="39">
        <f t="shared" si="7"/>
        <v>0.10899999999999999</v>
      </c>
      <c r="G30" s="39">
        <f t="shared" si="7"/>
        <v>0.10899999999999999</v>
      </c>
    </row>
    <row r="31" spans="2:16" x14ac:dyDescent="0.25">
      <c r="B31" s="52" t="s">
        <v>87</v>
      </c>
      <c r="C31" s="54">
        <v>0.04</v>
      </c>
      <c r="D31" s="54">
        <f>C31</f>
        <v>0.04</v>
      </c>
      <c r="E31" s="54">
        <f t="shared" ref="E31:G31" si="8">D31</f>
        <v>0.04</v>
      </c>
      <c r="F31" s="54">
        <f t="shared" si="8"/>
        <v>0.04</v>
      </c>
      <c r="G31" s="54">
        <f t="shared" si="8"/>
        <v>0.04</v>
      </c>
    </row>
    <row r="32" spans="2:16" x14ac:dyDescent="0.25">
      <c r="B32" s="53" t="s">
        <v>101</v>
      </c>
      <c r="C32" s="56">
        <v>0.9</v>
      </c>
      <c r="D32" s="56">
        <v>0.9</v>
      </c>
      <c r="E32" s="56">
        <v>0.9</v>
      </c>
      <c r="F32" s="56">
        <v>0.9</v>
      </c>
      <c r="G32" s="56">
        <v>0.9</v>
      </c>
    </row>
    <row r="33" spans="2:7" x14ac:dyDescent="0.25">
      <c r="B33" s="53" t="s">
        <v>102</v>
      </c>
      <c r="C33" s="56">
        <v>0.1</v>
      </c>
      <c r="D33" s="56">
        <v>0.1</v>
      </c>
      <c r="E33" s="56">
        <v>0.1</v>
      </c>
      <c r="F33" s="56">
        <v>0.1</v>
      </c>
      <c r="G33" s="56">
        <v>0.1</v>
      </c>
    </row>
    <row r="34" spans="2:7" x14ac:dyDescent="0.25">
      <c r="B34" s="57" t="s">
        <v>0</v>
      </c>
      <c r="C34" s="58">
        <f>C32*C30+C33*C31*(1-C15)</f>
        <v>0.10141199999999999</v>
      </c>
      <c r="D34" s="58">
        <f t="shared" ref="D34:G34" si="9">D32*D30+D33*D31*(1-D15)</f>
        <v>0.10139999999999999</v>
      </c>
      <c r="E34" s="58">
        <f t="shared" si="9"/>
        <v>0.10141599999999999</v>
      </c>
      <c r="F34" s="58">
        <f t="shared" si="9"/>
        <v>0.10138799999999999</v>
      </c>
      <c r="G34" s="58">
        <f t="shared" si="9"/>
        <v>0.10138</v>
      </c>
    </row>
    <row r="35" spans="2:7" x14ac:dyDescent="0.25">
      <c r="B35"/>
      <c r="C35" s="42"/>
      <c r="D35" s="42"/>
      <c r="E35" s="42"/>
      <c r="F35" s="42"/>
      <c r="G35" s="42"/>
    </row>
    <row r="36" spans="2:7" x14ac:dyDescent="0.25">
      <c r="B36"/>
      <c r="C36" s="42"/>
      <c r="D36" s="42"/>
      <c r="E36" s="42"/>
      <c r="F36" s="42"/>
      <c r="G36" s="42"/>
    </row>
    <row r="37" spans="2:7" ht="15.75" x14ac:dyDescent="0.25">
      <c r="B37" s="38"/>
      <c r="C37" s="47">
        <v>2026</v>
      </c>
      <c r="D37" s="47">
        <v>2027</v>
      </c>
      <c r="E37" s="47">
        <v>2028</v>
      </c>
      <c r="F37" s="47">
        <v>2029</v>
      </c>
      <c r="G37" s="47">
        <v>2030</v>
      </c>
    </row>
    <row r="38" spans="2:7" x14ac:dyDescent="0.25">
      <c r="B38" s="52" t="s">
        <v>89</v>
      </c>
      <c r="C38" s="51">
        <v>2.5000000000000001E-2</v>
      </c>
      <c r="D38" s="51">
        <v>2.5000000000000001E-2</v>
      </c>
      <c r="E38" s="51">
        <v>2.5000000000000001E-2</v>
      </c>
      <c r="F38" s="51">
        <v>2.5000000000000001E-2</v>
      </c>
      <c r="G38" s="51">
        <v>2.5000000000000001E-2</v>
      </c>
    </row>
    <row r="39" spans="2:7" x14ac:dyDescent="0.25">
      <c r="B39" s="52" t="s">
        <v>88</v>
      </c>
      <c r="C39" s="55">
        <v>12</v>
      </c>
      <c r="D39" s="55">
        <v>12</v>
      </c>
      <c r="E39" s="55">
        <v>12</v>
      </c>
      <c r="F39" s="55">
        <v>12</v>
      </c>
      <c r="G39" s="55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CDC3-674E-4364-A856-78D91694297D}">
  <sheetPr codeName="Sheet2">
    <tabColor theme="5" tint="0.39997558519241921"/>
  </sheetPr>
  <dimension ref="B1:G22"/>
  <sheetViews>
    <sheetView showGridLines="0" zoomScaleNormal="100" workbookViewId="0">
      <selection activeCell="D32" sqref="D32"/>
    </sheetView>
  </sheetViews>
  <sheetFormatPr defaultRowHeight="15" x14ac:dyDescent="0.25"/>
  <cols>
    <col min="2" max="2" width="27" customWidth="1"/>
    <col min="3" max="7" width="15.7109375" style="1" customWidth="1"/>
  </cols>
  <sheetData>
    <row r="1" spans="2:7" ht="28.5" x14ac:dyDescent="0.45">
      <c r="B1" s="49"/>
    </row>
    <row r="2" spans="2:7" ht="15.75" x14ac:dyDescent="0.25">
      <c r="B2" s="46" t="s">
        <v>113</v>
      </c>
      <c r="C2" s="47">
        <v>2026</v>
      </c>
      <c r="D2" s="47">
        <v>2027</v>
      </c>
      <c r="E2" s="47">
        <v>2028</v>
      </c>
      <c r="F2" s="47">
        <v>2029</v>
      </c>
      <c r="G2" s="47">
        <v>2030</v>
      </c>
    </row>
    <row r="3" spans="2:7" x14ac:dyDescent="0.25">
      <c r="B3" t="s">
        <v>106</v>
      </c>
      <c r="C3" s="3">
        <f>'FCFF &amp; Assumptions'!C22*'FCFF &amp; Assumptions'!C13*(1-'FCFF &amp; Assumptions'!C15)</f>
        <v>229776.50240653401</v>
      </c>
      <c r="D3" s="3">
        <f>'FCFF &amp; Assumptions'!D22*'FCFF &amp; Assumptions'!D13*(1-'FCFF &amp; Assumptions'!D15)</f>
        <v>259322.41302456634</v>
      </c>
      <c r="E3" s="3">
        <f>'FCFF &amp; Assumptions'!E22*'FCFF &amp; Assumptions'!E13*(1-'FCFF &amp; Assumptions'!E15)</f>
        <v>290030.99091087712</v>
      </c>
      <c r="F3" s="3">
        <f>'FCFF &amp; Assumptions'!F22*'FCFF &amp; Assumptions'!F13*(1-'FCFF &amp; Assumptions'!F15)</f>
        <v>320088.16638343461</v>
      </c>
      <c r="G3" s="3">
        <f>'FCFF &amp; Assumptions'!G22*'FCFF &amp; Assumptions'!G13*(1-'FCFF &amp; Assumptions'!G15)</f>
        <v>358766.01500921341</v>
      </c>
    </row>
    <row r="4" spans="2:7" x14ac:dyDescent="0.25">
      <c r="B4" t="s">
        <v>107</v>
      </c>
      <c r="C4" s="3">
        <f>'FCFF &amp; Assumptions'!C22*'FCFF &amp; Assumptions'!C19</f>
        <v>91509.491452173927</v>
      </c>
      <c r="D4" s="3">
        <f>'FCFF &amp; Assumptions'!D22*'FCFF &amp; Assumptions'!D19</f>
        <v>90488.996280381281</v>
      </c>
      <c r="E4" s="3">
        <f>'FCFF &amp; Assumptions'!E22*'FCFF &amp; Assumptions'!E19</f>
        <v>94840.601908159559</v>
      </c>
      <c r="F4" s="3">
        <f>'FCFF &amp; Assumptions'!F22*'FCFF &amp; Assumptions'!F19</f>
        <v>96184.542326417795</v>
      </c>
      <c r="G4" s="3">
        <f>'FCFF &amp; Assumptions'!G22*'FCFF &amp; Assumptions'!G19</f>
        <v>103862.20308582569</v>
      </c>
    </row>
    <row r="5" spans="2:7" x14ac:dyDescent="0.25">
      <c r="B5" t="s">
        <v>104</v>
      </c>
      <c r="C5" s="3">
        <f>C3+'FCFF &amp; Assumptions'!C16*'FCFF &amp; Assumptions'!C22-DCF!C4-'FCFF &amp; Assumptions'!C24</f>
        <v>205151.67345264117</v>
      </c>
      <c r="D5" s="3">
        <f>D3+'FCFF &amp; Assumptions'!D16*'FCFF &amp; Assumptions'!D22-DCF!D4-'FCFF &amp; Assumptions'!D24</f>
        <v>244531.49283509245</v>
      </c>
      <c r="E5" s="3">
        <f>E3+'FCFF &amp; Assumptions'!E16*'FCFF &amp; Assumptions'!E22-DCF!E4-'FCFF &amp; Assumptions'!E24</f>
        <v>279698.63281632529</v>
      </c>
      <c r="F5" s="3">
        <f>F3+'FCFF &amp; Assumptions'!F16*'FCFF &amp; Assumptions'!F22-DCF!F4-'FCFF &amp; Assumptions'!F24</f>
        <v>317622.58829988318</v>
      </c>
      <c r="G5" s="3">
        <f>G3+'FCFF &amp; Assumptions'!G16*'FCFF &amp; Assumptions'!G22-DCF!G4-'FCFF &amp; Assumptions'!G24</f>
        <v>359299.20928071026</v>
      </c>
    </row>
    <row r="6" spans="2:7" x14ac:dyDescent="0.25">
      <c r="C6" s="3"/>
      <c r="D6" s="3"/>
      <c r="E6" s="3"/>
      <c r="F6" s="3"/>
      <c r="G6" s="3"/>
    </row>
    <row r="7" spans="2:7" x14ac:dyDescent="0.25">
      <c r="B7" t="s">
        <v>110</v>
      </c>
      <c r="C7" s="3">
        <f>C5/('FCFF &amp; Assumptions'!C34-'FCFF &amp; Assumptions'!C38)</f>
        <v>2684809.6300664977</v>
      </c>
      <c r="D7" s="3">
        <f>D5/('FCFF &amp; Assumptions'!D34-'FCFF &amp; Assumptions'!D38)</f>
        <v>3200673.9899881212</v>
      </c>
      <c r="E7" s="3">
        <f>E5/('FCFF &amp; Assumptions'!E34-'FCFF &amp; Assumptions'!E38)</f>
        <v>3660210.3331282106</v>
      </c>
      <c r="F7" s="3">
        <f>F5/('FCFF &amp; Assumptions'!F34-'FCFF &amp; Assumptions'!F38)</f>
        <v>4158016.8128486574</v>
      </c>
      <c r="G7" s="3">
        <f>G5/('FCFF &amp; Assumptions'!G34-'FCFF &amp; Assumptions'!G38)</f>
        <v>4704100.6713892408</v>
      </c>
    </row>
    <row r="8" spans="2:7" x14ac:dyDescent="0.25">
      <c r="B8" t="s">
        <v>111</v>
      </c>
      <c r="C8" s="3">
        <f>('FCFF &amp; Assumptions'!C22*'FCFF &amp; Assumptions'!C13+'FCFF &amp; Assumptions'!C16*'FCFF &amp; Assumptions'!C22)*'FCFF &amp; Assumptions'!C39</f>
        <v>4198370.3427174129</v>
      </c>
      <c r="D8" s="3">
        <f>('FCFF &amp; Assumptions'!D22*'FCFF &amp; Assumptions'!D13+'FCFF &amp; Assumptions'!D16*'FCFF &amp; Assumptions'!D22)*'FCFF &amp; Assumptions'!D39</f>
        <v>4743528.4365926189</v>
      </c>
      <c r="E8" s="3">
        <f>('FCFF &amp; Assumptions'!E22*'FCFF &amp; Assumptions'!E13+'FCFF &amp; Assumptions'!E16*'FCFF &amp; Assumptions'!E22)*'FCFF &amp; Assumptions'!E39</f>
        <v>5273137.4660936724</v>
      </c>
      <c r="F8" s="3">
        <f>('FCFF &amp; Assumptions'!F22*'FCFF &amp; Assumptions'!F13+'FCFF &amp; Assumptions'!F16*'FCFF &amp; Assumptions'!F22)*'FCFF &amp; Assumptions'!F39</f>
        <v>5862010.6523300447</v>
      </c>
      <c r="G8" s="3">
        <f>('FCFF &amp; Assumptions'!G22*'FCFF &amp; Assumptions'!G13+'FCFF &amp; Assumptions'!G16*'FCFF &amp; Assumptions'!G22)*'FCFF &amp; Assumptions'!G39</f>
        <v>6574477.4553327672</v>
      </c>
    </row>
    <row r="9" spans="2:7" x14ac:dyDescent="0.25">
      <c r="B9" t="s">
        <v>112</v>
      </c>
      <c r="C9" s="3">
        <f>AVERAGE(C7:C8)</f>
        <v>3441589.9863919551</v>
      </c>
      <c r="D9" s="3">
        <f t="shared" ref="D9:G9" si="0">AVERAGE(D7:D8)</f>
        <v>3972101.2132903701</v>
      </c>
      <c r="E9" s="3">
        <f t="shared" si="0"/>
        <v>4466673.8996109413</v>
      </c>
      <c r="F9" s="3">
        <f t="shared" si="0"/>
        <v>5010013.732589351</v>
      </c>
      <c r="G9" s="3">
        <f t="shared" si="0"/>
        <v>5639289.063361004</v>
      </c>
    </row>
    <row r="10" spans="2:7" x14ac:dyDescent="0.25">
      <c r="C10" s="44"/>
      <c r="D10" s="44"/>
      <c r="E10" s="44"/>
      <c r="F10" s="44"/>
      <c r="G10" s="44"/>
    </row>
    <row r="11" spans="2:7" ht="15.75" x14ac:dyDescent="0.25">
      <c r="B11" s="46" t="s">
        <v>114</v>
      </c>
      <c r="C11" s="47">
        <v>2026</v>
      </c>
      <c r="D11" s="47">
        <v>2027</v>
      </c>
      <c r="E11" s="47">
        <v>2028</v>
      </c>
      <c r="F11" s="47">
        <v>2029</v>
      </c>
      <c r="G11" s="47">
        <v>2030</v>
      </c>
    </row>
    <row r="12" spans="2:7" x14ac:dyDescent="0.25">
      <c r="B12" t="s">
        <v>115</v>
      </c>
      <c r="C12" s="48">
        <f>1/(1+'FCFF &amp; Assumptions'!C34)^(DCF!C11-2025)</f>
        <v>0.90792546295119347</v>
      </c>
      <c r="D12" s="48">
        <f>1/(1+'FCFF &amp; Assumptions'!D34)^(DCF!D11-2025)</f>
        <v>0.82434660886392219</v>
      </c>
      <c r="E12" s="48">
        <f>1/(1+'FCFF &amp; Assumptions'!E34)^(DCF!E11-2025)</f>
        <v>0.74842081363990853</v>
      </c>
      <c r="F12" s="48">
        <f>1/(1+'FCFF &amp; Assumptions'!F34)^(DCF!F11-2025)</f>
        <v>0.67957694763441845</v>
      </c>
      <c r="G12" s="48">
        <f>1/(1+'FCFF &amp; Assumptions'!G34)^(DCF!G11-2025)</f>
        <v>0.61704106901348865</v>
      </c>
    </row>
    <row r="13" spans="2:7" x14ac:dyDescent="0.25">
      <c r="C13" s="44"/>
      <c r="D13" s="44"/>
      <c r="E13" s="44"/>
      <c r="F13" s="44"/>
      <c r="G13" s="44"/>
    </row>
    <row r="14" spans="2:7" x14ac:dyDescent="0.25">
      <c r="B14" t="s">
        <v>116</v>
      </c>
      <c r="C14" s="44"/>
      <c r="D14" s="44"/>
      <c r="E14" s="44"/>
      <c r="F14" s="44"/>
      <c r="G14" s="44"/>
    </row>
    <row r="15" spans="2:7" x14ac:dyDescent="0.25">
      <c r="B15" s="59" t="s">
        <v>104</v>
      </c>
      <c r="C15" s="60">
        <f>C5*C12</f>
        <v>186262.42809470132</v>
      </c>
      <c r="D15" s="60">
        <f t="shared" ref="D15:G15" si="1">D5*D12</f>
        <v>201578.70687904095</v>
      </c>
      <c r="E15" s="60">
        <f t="shared" si="1"/>
        <v>209332.27834636418</v>
      </c>
      <c r="F15" s="60">
        <f t="shared" si="1"/>
        <v>215848.98905657817</v>
      </c>
      <c r="G15" s="60">
        <f t="shared" si="1"/>
        <v>221702.36819027064</v>
      </c>
    </row>
    <row r="16" spans="2:7" x14ac:dyDescent="0.25">
      <c r="B16" s="61" t="s">
        <v>2</v>
      </c>
      <c r="C16" s="62">
        <f>C12*C9</f>
        <v>3124707.1816831073</v>
      </c>
      <c r="D16" s="62">
        <f t="shared" ref="D16:G16" si="2">D12*D9</f>
        <v>3274388.1652401877</v>
      </c>
      <c r="E16" s="62">
        <f t="shared" si="2"/>
        <v>3342951.7142109638</v>
      </c>
      <c r="F16" s="62">
        <f t="shared" si="2"/>
        <v>3404689.8399995905</v>
      </c>
      <c r="G16" s="62">
        <f t="shared" si="2"/>
        <v>3479672.9521323489</v>
      </c>
    </row>
    <row r="17" spans="2:7" x14ac:dyDescent="0.25">
      <c r="C17" s="44"/>
      <c r="D17" s="44"/>
      <c r="E17" s="44"/>
      <c r="F17" s="44"/>
      <c r="G17" s="44"/>
    </row>
    <row r="18" spans="2:7" x14ac:dyDescent="0.25">
      <c r="B18" s="63" t="s">
        <v>3</v>
      </c>
      <c r="C18" s="64">
        <f>G16+SUM(C15:G15)</f>
        <v>4514397.7226993041</v>
      </c>
      <c r="D18" s="44"/>
      <c r="E18" s="44"/>
      <c r="F18" s="44"/>
      <c r="G18" s="44"/>
    </row>
    <row r="19" spans="2:7" x14ac:dyDescent="0.25">
      <c r="C19" s="3"/>
      <c r="D19" s="44"/>
      <c r="E19" s="44"/>
      <c r="F19" s="44"/>
      <c r="G19" s="44"/>
    </row>
    <row r="20" spans="2:7" x14ac:dyDescent="0.25">
      <c r="B20" s="63" t="s">
        <v>4</v>
      </c>
      <c r="C20" s="64">
        <f>C18+'Balance Sheet'!C22-'Balance Sheet'!C20</f>
        <v>4534629.7226993041</v>
      </c>
      <c r="D20" s="44"/>
      <c r="E20" s="44"/>
      <c r="F20" s="44"/>
      <c r="G20" s="44"/>
    </row>
    <row r="21" spans="2:7" x14ac:dyDescent="0.25">
      <c r="B21" s="65" t="s">
        <v>117</v>
      </c>
      <c r="C21" s="66">
        <v>9244</v>
      </c>
      <c r="D21" s="44"/>
      <c r="E21" s="44"/>
      <c r="F21" s="44"/>
      <c r="G21" s="44"/>
    </row>
    <row r="22" spans="2:7" x14ac:dyDescent="0.25">
      <c r="B22" s="63" t="s">
        <v>118</v>
      </c>
      <c r="C22" s="67">
        <f>C20/C21</f>
        <v>490.54843387054348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81595-B472-403C-BDE2-92C500A9CF43}">
  <sheetPr codeName="Sheet5">
    <tabColor theme="3" tint="0.749992370372631"/>
  </sheetPr>
  <dimension ref="B1:G20"/>
  <sheetViews>
    <sheetView showGridLines="0" zoomScale="115" zoomScaleNormal="115" workbookViewId="0">
      <selection activeCell="B2" sqref="B2:G2"/>
    </sheetView>
  </sheetViews>
  <sheetFormatPr defaultRowHeight="15" x14ac:dyDescent="0.25"/>
  <cols>
    <col min="1" max="1" width="9.140625" style="1"/>
    <col min="2" max="2" width="37" style="5" bestFit="1" customWidth="1"/>
    <col min="3" max="3" width="12.85546875" style="1" bestFit="1" customWidth="1"/>
    <col min="4" max="7" width="12.5703125" style="1" bestFit="1" customWidth="1"/>
    <col min="8" max="16384" width="9.140625" style="1"/>
  </cols>
  <sheetData>
    <row r="1" spans="2:7" ht="15.75" thickBot="1" x14ac:dyDescent="0.3">
      <c r="B1" s="1"/>
    </row>
    <row r="2" spans="2:7" ht="15.75" thickBot="1" x14ac:dyDescent="0.3">
      <c r="B2" s="68" t="s">
        <v>56</v>
      </c>
      <c r="C2" s="69">
        <v>2025</v>
      </c>
      <c r="D2" s="70">
        <v>2024</v>
      </c>
      <c r="E2" s="70">
        <v>2023</v>
      </c>
      <c r="F2" s="70">
        <v>2022</v>
      </c>
      <c r="G2" s="71">
        <v>2021</v>
      </c>
    </row>
    <row r="3" spans="2:7" ht="15.75" thickBot="1" x14ac:dyDescent="0.3">
      <c r="B3" s="20" t="s">
        <v>57</v>
      </c>
      <c r="C3" s="17"/>
      <c r="D3" s="18"/>
      <c r="E3" s="18"/>
      <c r="F3" s="18"/>
      <c r="G3" s="19"/>
    </row>
    <row r="4" spans="2:7" ht="15.75" thickTop="1" x14ac:dyDescent="0.25">
      <c r="B4" s="8" t="s">
        <v>58</v>
      </c>
      <c r="C4" s="11">
        <f>_xlfn.IFNA(ROUND(('Income Statement'!C3-'Income Statement'!D3)/'Income Statement'!D3,4),"N/A")</f>
        <v>0.1386</v>
      </c>
      <c r="D4" s="10">
        <f>_xlfn.IFNA(ROUND(('Income Statement'!D3-'Income Statement'!E3)/'Income Statement'!E3,4),"N/A")</f>
        <v>8.4099999999999994E-2</v>
      </c>
      <c r="E4" s="10">
        <f>_xlfn.IFNA(ROUND(('Income Statement'!E3-'Income Statement'!F3)/'Income Statement'!F3,4),"N/A")</f>
        <v>9.8199999999999996E-2</v>
      </c>
      <c r="F4" s="10">
        <f>_xlfn.IFNA(ROUND(('Income Statement'!F3-'Income Statement'!G3)/'Income Statement'!G3,4),"N/A")</f>
        <v>-9.9000000000000008E-3</v>
      </c>
      <c r="G4" s="12" t="e">
        <f>_xlfn.IFNA(ROUND(('Income Statement'!G3-'Income Statement'!H3)/'Income Statement'!H3,4),"N/A")</f>
        <v>#DIV/0!</v>
      </c>
    </row>
    <row r="5" spans="2:7" x14ac:dyDescent="0.25">
      <c r="B5" s="8" t="s">
        <v>59</v>
      </c>
      <c r="C5" s="11">
        <f>_xlfn.IFNA(ROUND(('Income Statement'!C4-'Income Statement'!D4)/'Income Statement'!D4,4),"N/A")</f>
        <v>0.157</v>
      </c>
      <c r="D5" s="10">
        <f>_xlfn.IFNA(ROUND(('Income Statement'!D4-'Income Statement'!E4)/'Income Statement'!E4,4),"N/A")</f>
        <v>6.9699999999999998E-2</v>
      </c>
      <c r="E5" s="10">
        <f>_xlfn.IFNA(ROUND(('Income Statement'!E4-'Income Statement'!F4)/'Income Statement'!F4,4),"N/A")</f>
        <v>3.7600000000000001E-2</v>
      </c>
      <c r="F5" s="10">
        <f>_xlfn.IFNA(ROUND(('Income Statement'!F4-'Income Statement'!G4)/'Income Statement'!G4,4),"N/A")</f>
        <v>-1.37E-2</v>
      </c>
      <c r="G5" s="12" t="e">
        <f>_xlfn.IFNA(ROUND(('Income Statement'!G4-'Income Statement'!H4)/'Income Statement'!H4,4),"N/A")</f>
        <v>#DIV/0!</v>
      </c>
    </row>
    <row r="6" spans="2:7" x14ac:dyDescent="0.25">
      <c r="B6" s="8" t="s">
        <v>60</v>
      </c>
      <c r="C6" s="11">
        <f>_xlfn.IFNA(ROUND(('Income Statement'!C5-'Income Statement'!D5)/'Income Statement'!D5,4),"N/A")</f>
        <v>0.19439999999999999</v>
      </c>
      <c r="D6" s="10">
        <f>_xlfn.IFNA(ROUND(('Income Statement'!D5-'Income Statement'!E5)/'Income Statement'!E5,4),"N/A")</f>
        <v>0.19600000000000001</v>
      </c>
      <c r="E6" s="10">
        <f>_xlfn.IFNA(ROUND(('Income Statement'!E5-'Income Statement'!F5)/'Income Statement'!F5,4),"N/A")</f>
        <v>0.22670000000000001</v>
      </c>
      <c r="F6" s="10">
        <f>_xlfn.IFNA(ROUND(('Income Statement'!F5-'Income Statement'!G5)/'Income Statement'!G5,4),"N/A")</f>
        <v>-6.7000000000000004E-2</v>
      </c>
      <c r="G6" s="12" t="e">
        <f>_xlfn.IFNA(ROUND(('Income Statement'!G5-'Income Statement'!H5)/'Income Statement'!H5,4),"N/A")</f>
        <v>#DIV/0!</v>
      </c>
    </row>
    <row r="7" spans="2:7" x14ac:dyDescent="0.25">
      <c r="B7" s="8" t="s">
        <v>61</v>
      </c>
      <c r="C7" s="11">
        <f>_xlfn.IFNA(ROUND(('Income Statement'!C6-'Income Statement'!D6)/'Income Statement'!D6,4),"N/A")</f>
        <v>8.2500000000000004E-2</v>
      </c>
      <c r="D7" s="10">
        <f>_xlfn.IFNA(ROUND(('Income Statement'!D6-'Income Statement'!E6)/'Income Statement'!E6,4),"N/A")</f>
        <v>4.02E-2</v>
      </c>
      <c r="E7" s="10">
        <f>_xlfn.IFNA(ROUND(('Income Statement'!E6-'Income Statement'!F6)/'Income Statement'!F6,4),"N/A")</f>
        <v>0.15079999999999999</v>
      </c>
      <c r="F7" s="10">
        <f>_xlfn.IFNA(ROUND(('Income Statement'!F6-'Income Statement'!G6)/'Income Statement'!G6,4),"N/A")</f>
        <v>2.8299999999999999E-2</v>
      </c>
      <c r="G7" s="12" t="e">
        <f>_xlfn.IFNA(ROUND(('Income Statement'!G6-'Income Statement'!H6)/'Income Statement'!H6,4),"N/A")</f>
        <v>#DIV/0!</v>
      </c>
    </row>
    <row r="8" spans="2:7" ht="15.75" thickBot="1" x14ac:dyDescent="0.3">
      <c r="B8" s="7" t="s">
        <v>54</v>
      </c>
      <c r="C8" s="13">
        <f>_xlfn.IFNA(ROUND(('Income Statement'!C7-'Income Statement'!D7)/'Income Statement'!D7,4),"N/A")</f>
        <v>4.1000000000000002E-2</v>
      </c>
      <c r="D8" s="14">
        <f>_xlfn.IFNA(ROUND(('Income Statement'!D7-'Income Statement'!E7)/'Income Statement'!E7,4),"N/A")</f>
        <v>0.43819999999999998</v>
      </c>
      <c r="E8" s="14">
        <f>_xlfn.IFNA(ROUND(('Income Statement'!E7-'Income Statement'!F7)/'Income Statement'!F7,4),"N/A")</f>
        <v>-0.25009999999999999</v>
      </c>
      <c r="F8" s="14">
        <f>_xlfn.IFNA(ROUND(('Income Statement'!F7-'Income Statement'!G7)/'Income Statement'!G7,4),"N/A")</f>
        <v>-6.3899999999999998E-2</v>
      </c>
      <c r="G8" s="15" t="e">
        <f>_xlfn.IFNA(ROUND(('Income Statement'!G7-'Income Statement'!H7)/'Income Statement'!H7,4),"N/A")</f>
        <v>#DIV/0!</v>
      </c>
    </row>
    <row r="9" spans="2:7" ht="15.75" thickBot="1" x14ac:dyDescent="0.3">
      <c r="B9" s="16" t="s">
        <v>62</v>
      </c>
      <c r="C9" s="17"/>
      <c r="D9" s="18"/>
      <c r="E9" s="18"/>
      <c r="F9" s="18"/>
      <c r="G9" s="19"/>
    </row>
    <row r="10" spans="2:7" ht="15.75" thickTop="1" x14ac:dyDescent="0.25">
      <c r="B10" s="9" t="s">
        <v>63</v>
      </c>
      <c r="C10" s="11">
        <f>'Income Statement'!C9/'Income Statement'!C3</f>
        <v>0.56213369585748751</v>
      </c>
      <c r="D10" s="10">
        <f>'Income Statement'!D9/'Income Statement'!D3</f>
        <v>0.52895463433178291</v>
      </c>
      <c r="E10" s="10">
        <f>'Income Statement'!E9/'Income Statement'!E3</f>
        <v>0.48128371222383687</v>
      </c>
      <c r="F10" s="10">
        <f>'Income Statement'!F9/'Income Statement'!F3</f>
        <v>0.43052049221714106</v>
      </c>
      <c r="G10" s="12">
        <f>'Income Statement'!G9/'Income Statement'!G3</f>
        <v>0.43909319107759437</v>
      </c>
    </row>
    <row r="11" spans="2:7" x14ac:dyDescent="0.25">
      <c r="B11" s="9" t="s">
        <v>64</v>
      </c>
      <c r="C11" s="11">
        <f>'Income Statement'!C14/'Income Statement'!C3</f>
        <v>0.32132605092542094</v>
      </c>
      <c r="D11" s="21">
        <f>'Income Statement'!D14/'Income Statement'!D3</f>
        <v>0.315178786442249</v>
      </c>
      <c r="E11" s="21">
        <f>'Income Statement'!E14/'Income Statement'!E3</f>
        <v>0.262840816728652</v>
      </c>
      <c r="F11" s="21">
        <f>'Income Statement'!F14/'Income Statement'!F3</f>
        <v>0.19984960833249182</v>
      </c>
      <c r="G11" s="22">
        <f>'Income Statement'!G14/'Income Statement'!G3</f>
        <v>0.2225531048814714</v>
      </c>
    </row>
    <row r="12" spans="2:7" x14ac:dyDescent="0.25">
      <c r="B12" s="9" t="s">
        <v>66</v>
      </c>
      <c r="C12" s="11">
        <f>'Income Statement'!C20/'Income Statement'!C3</f>
        <v>0.37332893480152068</v>
      </c>
      <c r="D12" s="10">
        <f>'Income Statement'!D20/'Income Statement'!D3</f>
        <v>0.360179445276612</v>
      </c>
      <c r="E12" s="10">
        <f>'Income Statement'!E20/'Income Statement'!E3</f>
        <v>0.31507598335016379</v>
      </c>
      <c r="F12" s="10">
        <f>'Income Statement'!F20/'Income Statement'!F3</f>
        <v>0.25823187005005843</v>
      </c>
      <c r="G12" s="12">
        <f>'Income Statement'!G20/'Income Statement'!G3</f>
        <v>0.2726729010672751</v>
      </c>
    </row>
    <row r="13" spans="2:7" x14ac:dyDescent="0.25">
      <c r="B13" s="9" t="s">
        <v>65</v>
      </c>
      <c r="C13" s="11">
        <f>'Income Statement'!C19/'Income Statement'!C3</f>
        <v>0.30568155516477202</v>
      </c>
      <c r="D13" s="10">
        <f>'Income Statement'!D19/'Income Statement'!D3</f>
        <v>0.29756140411991089</v>
      </c>
      <c r="E13" s="10">
        <f>'Income Statement'!E19/'Income Statement'!E3</f>
        <v>0.19383430621577466</v>
      </c>
      <c r="F13" s="10">
        <f>'Income Statement'!F19/'Income Statement'!F3</f>
        <v>0.34029090148444152</v>
      </c>
      <c r="G13" s="12">
        <f>'Income Statement'!G19/'Income Statement'!G3</f>
        <v>0.40671787016307276</v>
      </c>
    </row>
    <row r="14" spans="2:7" x14ac:dyDescent="0.25">
      <c r="B14" s="9" t="s">
        <v>68</v>
      </c>
      <c r="C14" s="11">
        <f>('Income Statement'!C14*(1-'Income Statement'!C24))/(('Balance Sheet'!C23+'Balance Sheet'!D23)/2)</f>
        <v>0.21821749169705751</v>
      </c>
      <c r="D14" s="10">
        <f>('Income Statement'!D14*(1-'Income Statement'!D24))/(('Balance Sheet'!D23+'Balance Sheet'!E23)/2)</f>
        <v>0.22459916074500957</v>
      </c>
      <c r="E14" s="10">
        <f>('Income Statement'!E14*(1-'Income Statement'!E24))/(('Balance Sheet'!E23+'Balance Sheet'!F23)/2)</f>
        <v>0.17906104380075585</v>
      </c>
      <c r="F14" s="10">
        <f>('Income Statement'!F14*(1-'Income Statement'!F24))/(('Balance Sheet'!F23+'Balance Sheet'!G23)/2)</f>
        <v>0.14315057064009315</v>
      </c>
      <c r="G14" s="12" t="s">
        <v>1</v>
      </c>
    </row>
    <row r="15" spans="2:7" ht="15.75" thickBot="1" x14ac:dyDescent="0.3">
      <c r="B15" s="7" t="s">
        <v>69</v>
      </c>
      <c r="C15" s="13">
        <f>'Income Statement'!C19/(('Balance Sheet'!C19+'Balance Sheet'!D19)/2)</f>
        <v>0.21600883583211919</v>
      </c>
      <c r="D15" s="14">
        <f>'Income Statement'!D19/(('Balance Sheet'!D19+'Balance Sheet'!E19)/2)</f>
        <v>0.2204844852169219</v>
      </c>
      <c r="E15" s="14">
        <f>'Income Statement'!E19/(('Balance Sheet'!E19+'Balance Sheet'!F19)/2)</f>
        <v>0.15431292655730591</v>
      </c>
      <c r="F15" s="14">
        <f>'Income Statement'!F19/(('Balance Sheet'!F19+'Balance Sheet'!G19)/2)</f>
        <v>0.24705143059128487</v>
      </c>
      <c r="G15" s="15" t="s">
        <v>1</v>
      </c>
    </row>
    <row r="16" spans="2:7" ht="15.75" thickBot="1" x14ac:dyDescent="0.3">
      <c r="B16" s="20" t="s">
        <v>67</v>
      </c>
      <c r="C16" s="17"/>
      <c r="D16" s="18"/>
      <c r="E16" s="18"/>
      <c r="F16" s="18"/>
      <c r="G16" s="19"/>
    </row>
    <row r="17" spans="2:7" ht="15.75" thickTop="1" x14ac:dyDescent="0.25">
      <c r="B17" s="9" t="s">
        <v>70</v>
      </c>
      <c r="C17" s="11">
        <f>'Income Statement'!C3/(('Balance Sheet'!C13+'Balance Sheet'!D13)/2)</f>
        <v>0.39359672207793706</v>
      </c>
      <c r="D17" s="10">
        <f>'Income Statement'!D3/(('Balance Sheet'!D13+'Balance Sheet'!E13)/2)</f>
        <v>0.39321597229025551</v>
      </c>
      <c r="E17" s="10">
        <f>'Income Statement'!E3/(('Balance Sheet'!E13+'Balance Sheet'!F13)/2)</f>
        <v>0.38601726513186857</v>
      </c>
      <c r="F17" s="10">
        <f>'Income Statement'!F3/(('Balance Sheet'!F13+'Balance Sheet'!G13)/2)</f>
        <v>0.34762756249422111</v>
      </c>
      <c r="G17" s="12" t="s">
        <v>1</v>
      </c>
    </row>
    <row r="18" spans="2:7" ht="15.75" thickBot="1" x14ac:dyDescent="0.3">
      <c r="B18" s="9" t="s">
        <v>75</v>
      </c>
      <c r="C18" s="11">
        <f>'Income Statement'!C3/(('Balance Sheet'!C12+'Balance Sheet'!D12)/2)</f>
        <v>0.55107920894052465</v>
      </c>
      <c r="D18" s="10">
        <f>'Income Statement'!D3/(('Balance Sheet'!D12+'Balance Sheet'!E12)/2)</f>
        <v>0.56345176148812837</v>
      </c>
      <c r="E18" s="10">
        <f>'Income Statement'!E3/(('Balance Sheet'!E12+'Balance Sheet'!F12)/2)</f>
        <v>0.58815263778512383</v>
      </c>
      <c r="F18" s="10">
        <f>'Income Statement'!F3/(('Balance Sheet'!F12+'Balance Sheet'!G12)/2)</f>
        <v>0.51834701597518151</v>
      </c>
      <c r="G18" s="12" t="s">
        <v>1</v>
      </c>
    </row>
    <row r="19" spans="2:7" ht="15.75" thickBot="1" x14ac:dyDescent="0.3">
      <c r="B19" s="20" t="s">
        <v>71</v>
      </c>
      <c r="C19" s="17"/>
      <c r="D19" s="18"/>
      <c r="E19" s="18"/>
      <c r="F19" s="18"/>
      <c r="G19" s="19"/>
    </row>
    <row r="20" spans="2:7" ht="16.5" thickTop="1" thickBot="1" x14ac:dyDescent="0.3">
      <c r="B20" s="24" t="s">
        <v>72</v>
      </c>
      <c r="C20" s="25">
        <f>'Balance Sheet'!C8/'Balance Sheet'!C16</f>
        <v>1.4426615562409297</v>
      </c>
      <c r="D20" s="26">
        <f>'Balance Sheet'!D8/'Balance Sheet'!D16</f>
        <v>1.2501102267774225</v>
      </c>
      <c r="E20" s="26">
        <f>'Balance Sheet'!E8/'Balance Sheet'!E16</f>
        <v>1.4722013192979269</v>
      </c>
      <c r="F20" s="26">
        <f>'Balance Sheet'!F8/'Balance Sheet'!F16</f>
        <v>1.3035094103232583</v>
      </c>
      <c r="G20" s="27">
        <f>'Balance Sheet'!G8/'Balance Sheet'!G16</f>
        <v>1.2027149725376955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4ABF-D669-4739-846F-7318214F4D9A}">
  <sheetPr codeName="Sheet6">
    <tabColor theme="3" tint="0.749992370372631"/>
  </sheetPr>
  <dimension ref="B2:N25"/>
  <sheetViews>
    <sheetView showGridLines="0" zoomScale="115" zoomScaleNormal="115" workbookViewId="0">
      <selection activeCell="I2" sqref="I2:N2"/>
    </sheetView>
  </sheetViews>
  <sheetFormatPr defaultRowHeight="15" x14ac:dyDescent="0.25"/>
  <cols>
    <col min="1" max="1" width="9.140625" style="1"/>
    <col min="2" max="2" width="53.85546875" style="1" customWidth="1"/>
    <col min="3" max="3" width="13.42578125" style="1" bestFit="1" customWidth="1"/>
    <col min="4" max="7" width="13.42578125" style="1" customWidth="1"/>
    <col min="8" max="8" width="9.140625" style="1"/>
    <col min="9" max="9" width="34.85546875" style="1" customWidth="1"/>
    <col min="10" max="16384" width="9.140625" style="1"/>
  </cols>
  <sheetData>
    <row r="2" spans="2:14" x14ac:dyDescent="0.25">
      <c r="B2" s="47" t="s">
        <v>56</v>
      </c>
      <c r="C2" s="47">
        <v>2025</v>
      </c>
      <c r="D2" s="47">
        <v>2024</v>
      </c>
      <c r="E2" s="47">
        <v>2023</v>
      </c>
      <c r="F2" s="47">
        <v>2022</v>
      </c>
      <c r="G2" s="47">
        <v>2021</v>
      </c>
      <c r="I2" s="47" t="s">
        <v>56</v>
      </c>
      <c r="J2" s="47">
        <v>2025</v>
      </c>
      <c r="K2" s="47">
        <v>2024</v>
      </c>
      <c r="L2" s="47">
        <v>2023</v>
      </c>
      <c r="M2" s="47">
        <v>2022</v>
      </c>
      <c r="N2" s="47">
        <v>2021</v>
      </c>
    </row>
    <row r="3" spans="2:14" x14ac:dyDescent="0.25">
      <c r="B3" s="5" t="s">
        <v>5</v>
      </c>
      <c r="C3" s="3">
        <f>SUM(C4:C7)</f>
        <v>751766</v>
      </c>
      <c r="D3" s="3">
        <f>SUM(D4:D7)</f>
        <v>660257</v>
      </c>
      <c r="E3" s="3">
        <v>609015</v>
      </c>
      <c r="F3" s="3">
        <v>554552</v>
      </c>
      <c r="G3" s="3">
        <f>SUM(G4:G7)</f>
        <v>560118</v>
      </c>
      <c r="I3" s="5" t="s">
        <v>94</v>
      </c>
      <c r="J3" s="29">
        <f>(C3-D3)/D3</f>
        <v>0.13859603154529221</v>
      </c>
      <c r="K3" s="29">
        <f t="shared" ref="K3:N3" si="0">(D3-E3)/E3</f>
        <v>8.4139142714054663E-2</v>
      </c>
      <c r="L3" s="29">
        <f t="shared" si="0"/>
        <v>9.8210808003577663E-2</v>
      </c>
      <c r="M3" s="29">
        <f t="shared" si="0"/>
        <v>-9.9371918060123052E-3</v>
      </c>
      <c r="N3" s="1" t="e">
        <f t="shared" si="0"/>
        <v>#DIV/0!</v>
      </c>
    </row>
    <row r="4" spans="2:14" x14ac:dyDescent="0.25">
      <c r="B4" s="5" t="s">
        <v>6</v>
      </c>
      <c r="C4" s="3">
        <v>369281</v>
      </c>
      <c r="D4" s="3">
        <v>319168</v>
      </c>
      <c r="E4" s="3">
        <v>298375</v>
      </c>
      <c r="F4" s="3">
        <v>287565</v>
      </c>
      <c r="G4" s="3">
        <v>291572</v>
      </c>
      <c r="H4" s="2"/>
      <c r="I4" s="5" t="s">
        <v>90</v>
      </c>
      <c r="J4" s="29">
        <f t="shared" ref="J4:J7" si="1">(C4-D4)/D4</f>
        <v>0.15701135452175657</v>
      </c>
      <c r="K4" s="29">
        <f t="shared" ref="K4:K7" si="2">(D4-E4)/E4</f>
        <v>6.9687473816506071E-2</v>
      </c>
      <c r="L4" s="29">
        <f t="shared" ref="L4:L7" si="3">(E4-F4)/F4</f>
        <v>3.7591501051936087E-2</v>
      </c>
      <c r="M4" s="29">
        <f t="shared" ref="M4:M7" si="4">(F4-G4)/G4</f>
        <v>-1.3742746217057879E-2</v>
      </c>
      <c r="N4" s="1" t="e">
        <f t="shared" ref="N4:N7" si="5">(G4-H4)/H4</f>
        <v>#DIV/0!</v>
      </c>
    </row>
    <row r="5" spans="2:14" x14ac:dyDescent="0.25">
      <c r="B5" s="5" t="s">
        <v>7</v>
      </c>
      <c r="C5" s="3">
        <v>144973</v>
      </c>
      <c r="D5" s="3">
        <v>121374</v>
      </c>
      <c r="E5" s="3">
        <v>101482</v>
      </c>
      <c r="F5" s="3">
        <v>82729</v>
      </c>
      <c r="G5" s="3">
        <v>88666</v>
      </c>
      <c r="H5" s="2"/>
      <c r="I5" s="5" t="s">
        <v>91</v>
      </c>
      <c r="J5" s="29">
        <f t="shared" si="1"/>
        <v>0.19443208594921482</v>
      </c>
      <c r="K5" s="29">
        <f t="shared" si="2"/>
        <v>0.19601505685737372</v>
      </c>
      <c r="L5" s="29">
        <f t="shared" si="3"/>
        <v>0.22667988250794763</v>
      </c>
      <c r="M5" s="29">
        <f t="shared" si="4"/>
        <v>-6.6959150068797504E-2</v>
      </c>
      <c r="N5" s="1" t="e">
        <f t="shared" si="5"/>
        <v>#DIV/0!</v>
      </c>
    </row>
    <row r="6" spans="2:14" x14ac:dyDescent="0.25">
      <c r="B6" s="5" t="s">
        <v>8</v>
      </c>
      <c r="C6" s="3">
        <v>229435</v>
      </c>
      <c r="D6" s="3">
        <v>211956</v>
      </c>
      <c r="E6" s="3">
        <v>203763</v>
      </c>
      <c r="F6" s="3">
        <v>177064</v>
      </c>
      <c r="G6" s="3">
        <v>172195</v>
      </c>
      <c r="I6" s="5" t="s">
        <v>92</v>
      </c>
      <c r="J6" s="29">
        <f t="shared" si="1"/>
        <v>8.2465228632357654E-2</v>
      </c>
      <c r="K6" s="29">
        <f t="shared" si="2"/>
        <v>4.0208477495914371E-2</v>
      </c>
      <c r="L6" s="29">
        <f t="shared" si="3"/>
        <v>0.1507872859531017</v>
      </c>
      <c r="M6" s="29">
        <f t="shared" si="4"/>
        <v>2.8276082348500247E-2</v>
      </c>
      <c r="N6" s="1" t="e">
        <f t="shared" si="5"/>
        <v>#DIV/0!</v>
      </c>
    </row>
    <row r="7" spans="2:14" x14ac:dyDescent="0.25">
      <c r="B7" s="5" t="s">
        <v>9</v>
      </c>
      <c r="C7" s="3">
        <v>8077</v>
      </c>
      <c r="D7" s="3">
        <v>7759</v>
      </c>
      <c r="E7" s="3">
        <v>5395</v>
      </c>
      <c r="F7" s="3">
        <v>7194</v>
      </c>
      <c r="G7" s="3">
        <v>7685</v>
      </c>
      <c r="I7" s="30" t="s">
        <v>93</v>
      </c>
      <c r="J7" s="29">
        <f t="shared" si="1"/>
        <v>4.098466297203248E-2</v>
      </c>
      <c r="K7" s="29">
        <f t="shared" si="2"/>
        <v>0.43818350324374422</v>
      </c>
      <c r="L7" s="29">
        <f t="shared" si="3"/>
        <v>-0.25006950236308034</v>
      </c>
      <c r="M7" s="29">
        <f t="shared" si="4"/>
        <v>-6.3890696161353289E-2</v>
      </c>
      <c r="N7" s="1" t="e">
        <f t="shared" si="5"/>
        <v>#DIV/0!</v>
      </c>
    </row>
    <row r="8" spans="2:14" x14ac:dyDescent="0.25">
      <c r="B8" s="5" t="s">
        <v>10</v>
      </c>
      <c r="C8" s="3">
        <v>-329173</v>
      </c>
      <c r="D8" s="3">
        <v>-311011</v>
      </c>
      <c r="E8" s="3">
        <v>-315906</v>
      </c>
      <c r="F8" s="3">
        <v>-315806</v>
      </c>
      <c r="G8" s="3">
        <v>-314174</v>
      </c>
    </row>
    <row r="9" spans="2:14" x14ac:dyDescent="0.25">
      <c r="B9" s="5" t="s">
        <v>11</v>
      </c>
      <c r="C9" s="3">
        <f>SUM(C4:C8)</f>
        <v>422593</v>
      </c>
      <c r="D9" s="3">
        <f>SUM(D4:D8)</f>
        <v>349246</v>
      </c>
      <c r="E9" s="3">
        <f>SUM(E4:E8)</f>
        <v>293109</v>
      </c>
      <c r="F9" s="3">
        <f>SUM(F4:F8)</f>
        <v>238746</v>
      </c>
      <c r="G9" s="3">
        <f>SUM(G4:G8)</f>
        <v>245944</v>
      </c>
    </row>
    <row r="10" spans="2:14" x14ac:dyDescent="0.25">
      <c r="B10" s="5" t="s">
        <v>12</v>
      </c>
      <c r="C10" s="3">
        <v>-41727</v>
      </c>
      <c r="D10" s="3">
        <v>-36388</v>
      </c>
      <c r="E10" s="3">
        <v>-34211</v>
      </c>
      <c r="F10" s="3">
        <v>-29229</v>
      </c>
      <c r="G10" s="3">
        <v>-40594</v>
      </c>
    </row>
    <row r="11" spans="2:14" x14ac:dyDescent="0.25">
      <c r="B11" s="5" t="s">
        <v>13</v>
      </c>
      <c r="C11" s="3">
        <v>-136127</v>
      </c>
      <c r="D11" s="3">
        <v>-112761</v>
      </c>
      <c r="E11" s="3">
        <v>-103525</v>
      </c>
      <c r="F11" s="3">
        <v>-106696</v>
      </c>
      <c r="G11" s="3">
        <v>-89847</v>
      </c>
    </row>
    <row r="12" spans="2:14" x14ac:dyDescent="0.25">
      <c r="B12" s="5" t="s">
        <v>55</v>
      </c>
      <c r="C12" s="3">
        <v>32799</v>
      </c>
      <c r="D12" s="3">
        <v>27332</v>
      </c>
      <c r="E12" s="3">
        <v>26305</v>
      </c>
      <c r="F12" s="3">
        <v>28444</v>
      </c>
      <c r="G12" s="3">
        <v>26166</v>
      </c>
    </row>
    <row r="13" spans="2:14" x14ac:dyDescent="0.25">
      <c r="B13" s="5" t="s">
        <v>46</v>
      </c>
      <c r="C13" s="3">
        <v>33229</v>
      </c>
      <c r="D13" s="3">
        <v>28765</v>
      </c>
      <c r="E13" s="3">
        <v>32703</v>
      </c>
      <c r="F13" s="3">
        <v>32772</v>
      </c>
      <c r="G13" s="3">
        <v>31504</v>
      </c>
    </row>
    <row r="14" spans="2:14" x14ac:dyDescent="0.25">
      <c r="B14" s="5" t="s">
        <v>14</v>
      </c>
      <c r="C14" s="3">
        <v>241562</v>
      </c>
      <c r="D14" s="3">
        <v>208099</v>
      </c>
      <c r="E14" s="3">
        <v>160074</v>
      </c>
      <c r="F14" s="3">
        <v>110827</v>
      </c>
      <c r="G14" s="3">
        <v>124656</v>
      </c>
    </row>
    <row r="15" spans="2:14" x14ac:dyDescent="0.25">
      <c r="B15" s="5" t="s">
        <v>15</v>
      </c>
      <c r="C15" s="3">
        <v>16909</v>
      </c>
      <c r="D15" s="3">
        <v>16004</v>
      </c>
      <c r="E15" s="3">
        <v>13808</v>
      </c>
      <c r="F15" s="3">
        <v>8592</v>
      </c>
      <c r="G15" s="3">
        <v>6650</v>
      </c>
    </row>
    <row r="16" spans="2:14" x14ac:dyDescent="0.25">
      <c r="B16" s="5" t="s">
        <v>16</v>
      </c>
      <c r="C16" s="3">
        <v>-15130</v>
      </c>
      <c r="D16" s="3">
        <v>-11981</v>
      </c>
      <c r="E16" s="3">
        <v>-12268</v>
      </c>
      <c r="F16" s="3">
        <v>-9352</v>
      </c>
      <c r="G16" s="3">
        <v>-7114</v>
      </c>
    </row>
    <row r="17" spans="2:7" x14ac:dyDescent="0.25">
      <c r="B17" s="5" t="s">
        <v>17</v>
      </c>
      <c r="C17" s="3">
        <v>277249</v>
      </c>
      <c r="D17" s="3">
        <v>241485</v>
      </c>
      <c r="E17" s="3">
        <v>161324</v>
      </c>
      <c r="F17" s="3">
        <v>210225</v>
      </c>
      <c r="G17" s="3">
        <v>248062</v>
      </c>
    </row>
    <row r="18" spans="2:7" x14ac:dyDescent="0.25">
      <c r="B18" s="5" t="s">
        <v>18</v>
      </c>
      <c r="C18" s="3">
        <v>-47448</v>
      </c>
      <c r="D18" s="3">
        <v>-45018</v>
      </c>
      <c r="E18" s="3">
        <v>-43276</v>
      </c>
      <c r="F18" s="3">
        <v>-21516</v>
      </c>
      <c r="G18" s="3">
        <v>-20252</v>
      </c>
    </row>
    <row r="19" spans="2:7" x14ac:dyDescent="0.25">
      <c r="B19" s="5" t="s">
        <v>19</v>
      </c>
      <c r="C19" s="3">
        <f>SUM(C17:C18)</f>
        <v>229801</v>
      </c>
      <c r="D19" s="3">
        <f>SUM(D17:D18)</f>
        <v>196467</v>
      </c>
      <c r="E19" s="3">
        <f>SUM(E17:E18)</f>
        <v>118048</v>
      </c>
      <c r="F19" s="3">
        <f>SUM(F17:F18)</f>
        <v>188709</v>
      </c>
      <c r="G19" s="3">
        <f>SUM(G17:G18)</f>
        <v>227810</v>
      </c>
    </row>
    <row r="20" spans="2:7" x14ac:dyDescent="0.25">
      <c r="B20" s="5" t="s">
        <v>20</v>
      </c>
      <c r="C20" s="3">
        <v>280656</v>
      </c>
      <c r="D20" s="3">
        <v>237811</v>
      </c>
      <c r="E20" s="3">
        <v>191886</v>
      </c>
      <c r="F20" s="3">
        <v>143203</v>
      </c>
      <c r="G20" s="3">
        <v>152729</v>
      </c>
    </row>
    <row r="21" spans="2:7" x14ac:dyDescent="0.25">
      <c r="B21" s="5" t="s">
        <v>21</v>
      </c>
      <c r="C21" s="3">
        <v>259626</v>
      </c>
      <c r="D21" s="3">
        <v>222703</v>
      </c>
      <c r="E21" s="3">
        <v>157688</v>
      </c>
      <c r="F21" s="3">
        <v>115649</v>
      </c>
      <c r="G21" s="3">
        <v>123788</v>
      </c>
    </row>
    <row r="22" spans="2:7" x14ac:dyDescent="0.25">
      <c r="B22" s="5" t="s">
        <v>22</v>
      </c>
      <c r="C22" s="4">
        <v>24.748999999999999</v>
      </c>
      <c r="D22" s="4">
        <v>20.937999999999999</v>
      </c>
      <c r="E22" s="4">
        <v>12.186</v>
      </c>
      <c r="F22" s="4">
        <v>19.757000000000001</v>
      </c>
      <c r="G22" s="4">
        <v>23.597000000000001</v>
      </c>
    </row>
    <row r="23" spans="2:7" x14ac:dyDescent="0.25">
      <c r="B23" s="5" t="s">
        <v>23</v>
      </c>
      <c r="C23" s="4">
        <v>24.152999999999999</v>
      </c>
      <c r="D23" s="4">
        <v>20.486000000000001</v>
      </c>
      <c r="E23" s="4">
        <v>11.887</v>
      </c>
      <c r="F23" s="4">
        <v>19.341000000000001</v>
      </c>
      <c r="G23" s="4">
        <v>23.164000000000001</v>
      </c>
    </row>
    <row r="24" spans="2:7" x14ac:dyDescent="0.25">
      <c r="B24" t="s">
        <v>73</v>
      </c>
      <c r="C24" s="23">
        <f>-'Income Statement'!C18/'Income Statement'!C17</f>
        <v>0.17113857939974536</v>
      </c>
      <c r="D24" s="23">
        <f>-'Income Statement'!D18/'Income Statement'!D17</f>
        <v>0.1864215168644015</v>
      </c>
      <c r="E24" s="23">
        <f>-'Income Statement'!E18/'Income Statement'!E17</f>
        <v>0.26825518831667949</v>
      </c>
      <c r="F24" s="23">
        <f>-'Income Statement'!F18/'Income Statement'!F17</f>
        <v>0.10234748483767392</v>
      </c>
      <c r="G24" s="23">
        <f>-'Income Statement'!G18/'Income Statement'!G17</f>
        <v>8.1640880102555005E-2</v>
      </c>
    </row>
    <row r="25" spans="2:7" x14ac:dyDescent="0.25">
      <c r="B25" s="5" t="s">
        <v>108</v>
      </c>
      <c r="C25" s="45">
        <f>(SUM(C12:C13))/C3</f>
        <v>8.7830521731496233E-2</v>
      </c>
      <c r="D25" s="45">
        <f t="shared" ref="D25:G25" si="6">(SUM(D12:D13))/D3</f>
        <v>8.4962370713222282E-2</v>
      </c>
      <c r="E25" s="45">
        <f t="shared" si="6"/>
        <v>9.689088117698251E-2</v>
      </c>
      <c r="F25" s="45">
        <f t="shared" si="6"/>
        <v>0.11038820525397078</v>
      </c>
      <c r="G25" s="45">
        <f t="shared" si="6"/>
        <v>0.1029604476199658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90B77-51CC-4BBB-9FF2-9B7F5C12B6CE}">
  <sheetPr codeName="Sheet7">
    <tabColor theme="3" tint="0.749992370372631"/>
  </sheetPr>
  <dimension ref="B2:O23"/>
  <sheetViews>
    <sheetView showGridLines="0" zoomScale="130" zoomScaleNormal="130" workbookViewId="0">
      <selection activeCell="C14" sqref="C14"/>
    </sheetView>
  </sheetViews>
  <sheetFormatPr defaultRowHeight="15" x14ac:dyDescent="0.25"/>
  <cols>
    <col min="1" max="1" width="9.140625" style="1"/>
    <col min="2" max="2" width="39.140625" style="1" bestFit="1" customWidth="1"/>
    <col min="3" max="7" width="13.42578125" style="1" customWidth="1"/>
    <col min="8" max="11" width="9.140625" style="1"/>
    <col min="12" max="12" width="9.85546875" style="1" bestFit="1" customWidth="1"/>
    <col min="13" max="16384" width="9.140625" style="1"/>
  </cols>
  <sheetData>
    <row r="2" spans="2:7" x14ac:dyDescent="0.25">
      <c r="B2" s="47" t="s">
        <v>56</v>
      </c>
      <c r="C2" s="47">
        <v>2025</v>
      </c>
      <c r="D2" s="47">
        <v>2024</v>
      </c>
      <c r="E2" s="47">
        <v>2023</v>
      </c>
      <c r="F2" s="47">
        <v>2022</v>
      </c>
      <c r="G2" s="47">
        <v>2021</v>
      </c>
    </row>
    <row r="3" spans="2:7" x14ac:dyDescent="0.25">
      <c r="B3" s="5" t="s">
        <v>24</v>
      </c>
      <c r="C3" s="3">
        <v>141041</v>
      </c>
      <c r="D3" s="3">
        <v>132519</v>
      </c>
      <c r="E3" s="3">
        <v>172320</v>
      </c>
      <c r="F3" s="3">
        <v>156739</v>
      </c>
      <c r="G3" s="3">
        <v>167966</v>
      </c>
    </row>
    <row r="4" spans="2:7" x14ac:dyDescent="0.25">
      <c r="B4" s="5" t="s">
        <v>25</v>
      </c>
      <c r="C4" s="3">
        <v>353837</v>
      </c>
      <c r="D4" s="3">
        <v>282894</v>
      </c>
      <c r="E4" s="3">
        <v>231038</v>
      </c>
      <c r="F4" s="3">
        <v>162792</v>
      </c>
      <c r="G4" s="3">
        <v>113320</v>
      </c>
    </row>
    <row r="5" spans="2:7" x14ac:dyDescent="0.25">
      <c r="B5" s="5" t="s">
        <v>26</v>
      </c>
      <c r="C5" s="3">
        <f>SUM(C3:C4)</f>
        <v>494878</v>
      </c>
      <c r="D5" s="3">
        <f>SUM(D3:D4)</f>
        <v>415413</v>
      </c>
      <c r="E5" s="3">
        <f>SUM(E3:E4)</f>
        <v>403358</v>
      </c>
      <c r="F5" s="3">
        <f>SUM(F3:F4)</f>
        <v>319531</v>
      </c>
      <c r="G5" s="3">
        <f>SUM(G3:G4)</f>
        <v>281286</v>
      </c>
    </row>
    <row r="6" spans="2:7" x14ac:dyDescent="0.25">
      <c r="B6" s="5" t="s">
        <v>27</v>
      </c>
      <c r="C6" s="3">
        <v>49930</v>
      </c>
      <c r="D6" s="3">
        <v>48203</v>
      </c>
      <c r="E6" s="3">
        <v>46606</v>
      </c>
      <c r="F6" s="3">
        <v>45467</v>
      </c>
      <c r="G6" s="3">
        <v>49331</v>
      </c>
    </row>
    <row r="7" spans="2:7" x14ac:dyDescent="0.25">
      <c r="B7" s="5" t="s">
        <v>28</v>
      </c>
      <c r="C7" s="3">
        <v>530</v>
      </c>
      <c r="D7" s="3">
        <v>440</v>
      </c>
      <c r="E7" s="3">
        <v>456</v>
      </c>
      <c r="F7" s="3">
        <v>2333</v>
      </c>
      <c r="G7" s="3">
        <v>1063</v>
      </c>
    </row>
    <row r="8" spans="2:7" x14ac:dyDescent="0.25">
      <c r="B8" s="5" t="s">
        <v>29</v>
      </c>
      <c r="C8" s="3">
        <v>595460</v>
      </c>
      <c r="D8" s="3">
        <v>496180</v>
      </c>
      <c r="E8" s="3">
        <v>518446</v>
      </c>
      <c r="F8" s="3">
        <v>565989</v>
      </c>
      <c r="G8" s="3">
        <v>484812</v>
      </c>
    </row>
    <row r="9" spans="2:7" x14ac:dyDescent="0.25">
      <c r="B9" s="5" t="s">
        <v>30</v>
      </c>
      <c r="C9" s="3">
        <v>149905</v>
      </c>
      <c r="D9" s="3">
        <v>80185</v>
      </c>
      <c r="E9" s="3">
        <v>53232</v>
      </c>
      <c r="F9" s="3">
        <v>53978</v>
      </c>
      <c r="G9" s="3">
        <v>61914</v>
      </c>
    </row>
    <row r="10" spans="2:7" x14ac:dyDescent="0.25">
      <c r="B10" s="5" t="s">
        <v>31</v>
      </c>
      <c r="C10" s="3">
        <v>205999</v>
      </c>
      <c r="D10" s="3">
        <v>196127</v>
      </c>
      <c r="E10" s="3">
        <v>177727</v>
      </c>
      <c r="F10" s="3">
        <v>161802</v>
      </c>
      <c r="G10" s="3">
        <v>171376</v>
      </c>
    </row>
    <row r="11" spans="2:7" x14ac:dyDescent="0.25">
      <c r="B11" s="5" t="s">
        <v>32</v>
      </c>
      <c r="C11" s="3">
        <v>17367</v>
      </c>
      <c r="D11" s="3">
        <v>17679</v>
      </c>
      <c r="E11" s="3">
        <v>20464</v>
      </c>
      <c r="F11" s="3">
        <v>22524</v>
      </c>
      <c r="G11" s="3">
        <v>20468</v>
      </c>
    </row>
    <row r="12" spans="2:7" x14ac:dyDescent="0.25">
      <c r="B12" s="5" t="s">
        <v>33</v>
      </c>
      <c r="C12" s="3">
        <v>1443526</v>
      </c>
      <c r="D12" s="3">
        <v>1284815</v>
      </c>
      <c r="E12" s="3">
        <v>1058800</v>
      </c>
      <c r="F12" s="3">
        <v>1012142</v>
      </c>
      <c r="G12" s="3">
        <v>1127552</v>
      </c>
    </row>
    <row r="13" spans="2:7" x14ac:dyDescent="0.25">
      <c r="B13" s="5" t="s">
        <v>34</v>
      </c>
      <c r="C13" s="3">
        <v>2038986</v>
      </c>
      <c r="D13" s="3">
        <f>D12+D8</f>
        <v>1780995</v>
      </c>
      <c r="E13" s="3">
        <f t="shared" ref="E13:G13" si="0">E12+E8</f>
        <v>1577246</v>
      </c>
      <c r="F13" s="3">
        <f t="shared" si="0"/>
        <v>1578131</v>
      </c>
      <c r="G13" s="3">
        <f t="shared" si="0"/>
        <v>1612364</v>
      </c>
    </row>
    <row r="14" spans="2:7" x14ac:dyDescent="0.25">
      <c r="B14" s="5" t="s">
        <v>35</v>
      </c>
      <c r="C14" s="3">
        <f>208369+42618</f>
        <v>250987</v>
      </c>
      <c r="D14" s="3">
        <f>146521+52885</f>
        <v>199406</v>
      </c>
      <c r="E14" s="3">
        <f>146521+52885</f>
        <v>199406</v>
      </c>
      <c r="F14" s="3">
        <f>163668+11580</f>
        <v>175248</v>
      </c>
      <c r="G14" s="3">
        <f>19003+136936</f>
        <v>155939</v>
      </c>
    </row>
    <row r="15" spans="2:7" x14ac:dyDescent="0.25">
      <c r="B15" s="5" t="s">
        <v>36</v>
      </c>
      <c r="C15" s="3">
        <v>121127</v>
      </c>
      <c r="D15" s="3">
        <v>118712</v>
      </c>
      <c r="E15" s="3">
        <v>100948</v>
      </c>
      <c r="F15" s="3">
        <v>92381</v>
      </c>
      <c r="G15" s="3">
        <v>109470</v>
      </c>
    </row>
    <row r="16" spans="2:7" x14ac:dyDescent="0.25">
      <c r="B16" s="5" t="s">
        <v>37</v>
      </c>
      <c r="C16" s="3">
        <v>412751</v>
      </c>
      <c r="D16" s="3">
        <v>396909</v>
      </c>
      <c r="E16" s="3">
        <v>352157</v>
      </c>
      <c r="F16" s="3">
        <v>434204</v>
      </c>
      <c r="G16" s="3">
        <v>403098</v>
      </c>
    </row>
    <row r="17" spans="2:15" x14ac:dyDescent="0.25">
      <c r="B17" s="5" t="s">
        <v>38</v>
      </c>
      <c r="C17" s="3">
        <v>385170</v>
      </c>
      <c r="D17" s="3">
        <v>330190</v>
      </c>
      <c r="E17" s="3">
        <v>351408</v>
      </c>
      <c r="F17" s="3">
        <v>361067</v>
      </c>
      <c r="G17" s="3">
        <v>332573</v>
      </c>
    </row>
    <row r="18" spans="2:15" x14ac:dyDescent="0.25">
      <c r="B18" s="5" t="s">
        <v>39</v>
      </c>
      <c r="C18" s="3">
        <v>797921</v>
      </c>
      <c r="D18" s="3">
        <f>SUM(D16:D17)</f>
        <v>727099</v>
      </c>
      <c r="E18" s="3">
        <f t="shared" ref="E18:G18" si="1">SUM(E16:E17)</f>
        <v>703565</v>
      </c>
      <c r="F18" s="3">
        <f t="shared" si="1"/>
        <v>795271</v>
      </c>
      <c r="G18" s="3">
        <f t="shared" si="1"/>
        <v>735671</v>
      </c>
    </row>
    <row r="19" spans="2:15" x14ac:dyDescent="0.25">
      <c r="B19" s="5" t="s">
        <v>40</v>
      </c>
      <c r="C19" s="3">
        <v>1154152</v>
      </c>
      <c r="D19" s="3">
        <v>973548</v>
      </c>
      <c r="E19" s="3">
        <v>808591</v>
      </c>
      <c r="F19" s="3">
        <v>721391</v>
      </c>
      <c r="G19" s="3">
        <v>806299</v>
      </c>
      <c r="K19" s="2"/>
      <c r="L19" s="2"/>
      <c r="M19" s="2"/>
      <c r="N19" s="2"/>
      <c r="O19" s="2"/>
    </row>
    <row r="20" spans="2:15" x14ac:dyDescent="0.25">
      <c r="B20" s="5" t="s">
        <v>41</v>
      </c>
      <c r="C20" s="3">
        <v>86913</v>
      </c>
      <c r="D20" s="3">
        <v>80348</v>
      </c>
      <c r="E20" s="3">
        <v>65090</v>
      </c>
      <c r="F20" s="3">
        <v>61469</v>
      </c>
      <c r="G20" s="3">
        <v>70394</v>
      </c>
      <c r="I20" s="2"/>
      <c r="J20" s="2"/>
      <c r="K20" s="2"/>
      <c r="L20" s="2"/>
      <c r="M20" s="2"/>
      <c r="N20" s="2"/>
      <c r="O20" s="2"/>
    </row>
    <row r="21" spans="2:15" x14ac:dyDescent="0.25">
      <c r="B21" s="5" t="s">
        <v>42</v>
      </c>
      <c r="C21" s="3">
        <v>1241065</v>
      </c>
      <c r="D21" s="3">
        <v>1053896</v>
      </c>
      <c r="E21" s="3">
        <v>873681</v>
      </c>
      <c r="F21" s="3">
        <v>782860</v>
      </c>
      <c r="G21" s="3">
        <v>876693</v>
      </c>
    </row>
    <row r="22" spans="2:15" x14ac:dyDescent="0.25">
      <c r="B22" s="5" t="s">
        <v>43</v>
      </c>
      <c r="C22" s="3">
        <v>107145</v>
      </c>
      <c r="D22" s="3">
        <v>76798</v>
      </c>
      <c r="E22" s="3">
        <v>54740</v>
      </c>
      <c r="F22" s="3">
        <v>-14832</v>
      </c>
      <c r="G22" s="3" t="s">
        <v>1</v>
      </c>
    </row>
    <row r="23" spans="2:15" x14ac:dyDescent="0.25">
      <c r="B23" s="5" t="s">
        <v>74</v>
      </c>
      <c r="C23" s="3">
        <f>C21+C14-C5</f>
        <v>997174</v>
      </c>
      <c r="D23" s="3">
        <f t="shared" ref="D23:G23" si="2">D21+D14-D5</f>
        <v>837889</v>
      </c>
      <c r="E23" s="3">
        <f t="shared" si="2"/>
        <v>669729</v>
      </c>
      <c r="F23" s="3">
        <f t="shared" si="2"/>
        <v>638577</v>
      </c>
      <c r="G23" s="3">
        <f t="shared" si="2"/>
        <v>751346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BDC3-27B0-430F-A20E-D1762E5DA066}">
  <sheetPr codeName="Sheet8">
    <tabColor theme="3" tint="0.749992370372631"/>
  </sheetPr>
  <dimension ref="B2:G21"/>
  <sheetViews>
    <sheetView showGridLines="0" zoomScaleNormal="100" workbookViewId="0">
      <selection activeCell="E34" sqref="E34"/>
    </sheetView>
  </sheetViews>
  <sheetFormatPr defaultRowHeight="15" x14ac:dyDescent="0.25"/>
  <cols>
    <col min="1" max="1" width="9.140625" style="1"/>
    <col min="2" max="2" width="61" style="1" bestFit="1" customWidth="1"/>
    <col min="3" max="7" width="13.42578125" style="1" customWidth="1"/>
    <col min="8" max="16384" width="9.140625" style="1"/>
  </cols>
  <sheetData>
    <row r="2" spans="2:7" x14ac:dyDescent="0.25">
      <c r="B2" s="47" t="s">
        <v>56</v>
      </c>
      <c r="C2" s="47">
        <v>2025</v>
      </c>
      <c r="D2" s="47">
        <v>2024</v>
      </c>
      <c r="E2" s="47">
        <v>2023</v>
      </c>
      <c r="F2" s="47">
        <v>2022</v>
      </c>
      <c r="G2" s="47">
        <v>2021</v>
      </c>
    </row>
    <row r="3" spans="2:7" x14ac:dyDescent="0.25">
      <c r="B3" s="5" t="s">
        <v>44</v>
      </c>
      <c r="C3" s="3">
        <v>347751</v>
      </c>
      <c r="D3" s="3">
        <v>304705</v>
      </c>
      <c r="E3" s="3">
        <v>256691</v>
      </c>
      <c r="F3" s="3">
        <v>173760</v>
      </c>
      <c r="G3" s="3">
        <v>203712</v>
      </c>
    </row>
    <row r="4" spans="2:7" x14ac:dyDescent="0.25">
      <c r="B4" s="5" t="s">
        <v>45</v>
      </c>
      <c r="C4" s="3">
        <v>32799</v>
      </c>
      <c r="D4" s="3">
        <v>27332</v>
      </c>
      <c r="E4" s="3">
        <v>26305</v>
      </c>
      <c r="F4" s="3">
        <v>28444</v>
      </c>
      <c r="G4" s="3">
        <v>26166</v>
      </c>
    </row>
    <row r="5" spans="2:7" x14ac:dyDescent="0.25">
      <c r="B5" s="5" t="s">
        <v>46</v>
      </c>
      <c r="C5" s="3">
        <v>33229</v>
      </c>
      <c r="D5" s="3">
        <v>28881</v>
      </c>
      <c r="E5" s="3">
        <v>32703</v>
      </c>
      <c r="F5" s="3">
        <v>32772</v>
      </c>
      <c r="G5" s="3">
        <v>31504</v>
      </c>
    </row>
    <row r="6" spans="2:7" x14ac:dyDescent="0.25">
      <c r="B6" s="5" t="s">
        <v>47</v>
      </c>
      <c r="C6" s="3">
        <f>SUM(C4:C5)</f>
        <v>66028</v>
      </c>
      <c r="D6" s="3">
        <f t="shared" ref="D6:G6" si="0">SUM(D4:D5)</f>
        <v>56213</v>
      </c>
      <c r="E6" s="3">
        <f t="shared" si="0"/>
        <v>59008</v>
      </c>
      <c r="F6" s="3">
        <f t="shared" si="0"/>
        <v>61216</v>
      </c>
      <c r="G6" s="3">
        <f t="shared" si="0"/>
        <v>57670</v>
      </c>
    </row>
    <row r="7" spans="2:7" x14ac:dyDescent="0.25">
      <c r="B7" s="5" t="s">
        <v>48</v>
      </c>
      <c r="C7" s="3">
        <v>-87482</v>
      </c>
      <c r="D7" s="3">
        <v>-62927</v>
      </c>
      <c r="E7" s="3">
        <v>-21008</v>
      </c>
      <c r="F7" s="3">
        <v>-22679</v>
      </c>
      <c r="G7" s="3">
        <v>-29302</v>
      </c>
    </row>
    <row r="8" spans="2:7" x14ac:dyDescent="0.25">
      <c r="B8" s="5" t="s">
        <v>49</v>
      </c>
      <c r="C8" s="3">
        <v>-25399</v>
      </c>
      <c r="D8" s="3">
        <v>-26394</v>
      </c>
      <c r="E8" s="3">
        <v>-26042</v>
      </c>
      <c r="F8" s="3">
        <v>-27645</v>
      </c>
      <c r="G8" s="3">
        <v>-31159</v>
      </c>
    </row>
    <row r="9" spans="2:7" x14ac:dyDescent="0.25">
      <c r="B9" s="5" t="s">
        <v>50</v>
      </c>
      <c r="C9" s="3">
        <f>SUM(C7:C8)</f>
        <v>-112881</v>
      </c>
      <c r="D9" s="3">
        <f t="shared" ref="D9:G9" si="1">SUM(D7:D8)</f>
        <v>-89321</v>
      </c>
      <c r="E9" s="3">
        <f t="shared" si="1"/>
        <v>-47050</v>
      </c>
      <c r="F9" s="3">
        <f t="shared" si="1"/>
        <v>-50324</v>
      </c>
      <c r="G9" s="3">
        <f t="shared" si="1"/>
        <v>-60461</v>
      </c>
    </row>
    <row r="10" spans="2:7" x14ac:dyDescent="0.25">
      <c r="B10" s="5" t="s">
        <v>51</v>
      </c>
      <c r="C10" s="3">
        <f>-1242-89+17007+13741-18745-331+6143</f>
        <v>16484</v>
      </c>
      <c r="D10" s="3">
        <v>21881</v>
      </c>
      <c r="E10" s="3">
        <v>19233</v>
      </c>
      <c r="F10" s="3">
        <v>-18472</v>
      </c>
      <c r="G10" s="3">
        <v>891</v>
      </c>
    </row>
    <row r="11" spans="2:7" x14ac:dyDescent="0.25">
      <c r="B11" s="5" t="s">
        <v>52</v>
      </c>
      <c r="C11" s="3">
        <v>107145</v>
      </c>
      <c r="D11" s="3">
        <v>76798</v>
      </c>
      <c r="E11" s="3">
        <v>54740</v>
      </c>
      <c r="F11" s="3">
        <v>-14832</v>
      </c>
      <c r="G11" s="3">
        <v>-20243</v>
      </c>
    </row>
    <row r="15" spans="2:7" x14ac:dyDescent="0.25">
      <c r="D15" s="2"/>
      <c r="E15" s="2"/>
      <c r="F15" s="2"/>
      <c r="G15" s="2"/>
    </row>
    <row r="16" spans="2:7" x14ac:dyDescent="0.25">
      <c r="E16" s="2"/>
      <c r="F16" s="2"/>
      <c r="G16" s="2"/>
    </row>
    <row r="17" spans="4:7" x14ac:dyDescent="0.25">
      <c r="D17" s="2"/>
      <c r="E17" s="2"/>
      <c r="F17" s="2"/>
      <c r="G17" s="2"/>
    </row>
    <row r="18" spans="4:7" x14ac:dyDescent="0.25">
      <c r="D18" s="2"/>
      <c r="E18" s="2"/>
      <c r="F18" s="2"/>
      <c r="G18" s="2"/>
    </row>
    <row r="19" spans="4:7" x14ac:dyDescent="0.25">
      <c r="D19" s="2"/>
      <c r="E19" s="2"/>
      <c r="F19" s="2"/>
      <c r="G19" s="2"/>
    </row>
    <row r="20" spans="4:7" x14ac:dyDescent="0.25">
      <c r="F20" s="2"/>
    </row>
    <row r="21" spans="4:7" x14ac:dyDescent="0.25">
      <c r="D21" s="2"/>
      <c r="E21" s="2"/>
      <c r="F21" s="2"/>
      <c r="G2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Overview</vt:lpstr>
      <vt:lpstr>FCFF &amp; Assumptions</vt:lpstr>
      <vt:lpstr>DCF</vt:lpstr>
      <vt:lpstr>Key Indicators</vt:lpstr>
      <vt:lpstr>Income Statement</vt:lpstr>
      <vt:lpstr>Balance Sheet</vt:lpstr>
      <vt:lpstr>Cash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OR, Ka Yung</dc:creator>
  <cp:lastModifiedBy>OR, Ka Yung</cp:lastModifiedBy>
  <dcterms:created xsi:type="dcterms:W3CDTF">2026-07-11T06:53:45Z</dcterms:created>
  <dcterms:modified xsi:type="dcterms:W3CDTF">2026-07-12T09:59:53Z</dcterms:modified>
</cp:coreProperties>
</file>